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DDC48CF-6AE6-4ADE-A5C5-3634BBD47D90}" xr6:coauthVersionLast="41" xr6:coauthVersionMax="41" xr10:uidLastSave="{00000000-0000-0000-0000-000000000000}"/>
  <bookViews>
    <workbookView xWindow="2985" yWindow="2985" windowWidth="15375" windowHeight="787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" l="1"/>
  <c r="C39" i="1"/>
  <c r="C40" i="1"/>
  <c r="C41" i="1"/>
  <c r="B41" i="1" s="1"/>
  <c r="C42" i="1"/>
  <c r="C43" i="1"/>
  <c r="B43" i="1" s="1"/>
  <c r="C44" i="1"/>
  <c r="B44" i="1" s="1"/>
  <c r="C45" i="1"/>
  <c r="B45" i="1" s="1"/>
  <c r="C46" i="1"/>
  <c r="B46" i="1" s="1"/>
  <c r="C47" i="1"/>
  <c r="B47" i="1" s="1"/>
  <c r="C48" i="1"/>
  <c r="B48" i="1" s="1"/>
  <c r="C49" i="1"/>
  <c r="B49" i="1" s="1"/>
  <c r="C50" i="1"/>
  <c r="B50" i="1" s="1"/>
  <c r="C51" i="1"/>
  <c r="B51" i="1" s="1"/>
  <c r="C52" i="1"/>
  <c r="B52" i="1" s="1"/>
  <c r="C53" i="1"/>
  <c r="B53" i="1" s="1"/>
  <c r="C54" i="1"/>
  <c r="B54" i="1" s="1"/>
  <c r="C55" i="1"/>
  <c r="B55" i="1" s="1"/>
  <c r="C56" i="1"/>
  <c r="B56" i="1" s="1"/>
  <c r="C57" i="1"/>
  <c r="B57" i="1" s="1"/>
  <c r="C58" i="1"/>
  <c r="B58" i="1" s="1"/>
  <c r="C59" i="1"/>
  <c r="B59" i="1" s="1"/>
  <c r="C60" i="1"/>
  <c r="B60" i="1" s="1"/>
  <c r="C61" i="1"/>
  <c r="B61" i="1" s="1"/>
  <c r="C62" i="1"/>
  <c r="B62" i="1" s="1"/>
  <c r="C63" i="1"/>
  <c r="B63" i="1" s="1"/>
  <c r="C64" i="1"/>
  <c r="B64" i="1" s="1"/>
  <c r="C65" i="1"/>
  <c r="B65" i="1" s="1"/>
  <c r="C66" i="1"/>
  <c r="B66" i="1" s="1"/>
  <c r="C67" i="1"/>
  <c r="B67" i="1" s="1"/>
  <c r="C68" i="1"/>
  <c r="B68" i="1" s="1"/>
  <c r="C69" i="1"/>
  <c r="B69" i="1" s="1"/>
  <c r="C70" i="1"/>
  <c r="B70" i="1" s="1"/>
  <c r="C71" i="1"/>
  <c r="B71" i="1" s="1"/>
  <c r="C72" i="1"/>
  <c r="B72" i="1" s="1"/>
  <c r="C73" i="1"/>
  <c r="B73" i="1" s="1"/>
  <c r="C74" i="1"/>
  <c r="B74" i="1" s="1"/>
  <c r="C75" i="1"/>
  <c r="B75" i="1" s="1"/>
  <c r="C76" i="1"/>
  <c r="B76" i="1" s="1"/>
  <c r="C77" i="1"/>
  <c r="B77" i="1" s="1"/>
  <c r="C78" i="1"/>
  <c r="B78" i="1" s="1"/>
  <c r="C79" i="1"/>
  <c r="B79" i="1" s="1"/>
  <c r="C80" i="1"/>
  <c r="B80" i="1" s="1"/>
  <c r="C81" i="1"/>
  <c r="B81" i="1" s="1"/>
  <c r="C82" i="1"/>
  <c r="B82" i="1" s="1"/>
  <c r="C83" i="1"/>
  <c r="B83" i="1" s="1"/>
  <c r="C84" i="1"/>
  <c r="B84" i="1" s="1"/>
  <c r="C85" i="1"/>
  <c r="B85" i="1" s="1"/>
  <c r="C86" i="1"/>
  <c r="B86" i="1" s="1"/>
  <c r="C87" i="1"/>
  <c r="B87" i="1" s="1"/>
  <c r="C88" i="1"/>
  <c r="B88" i="1" s="1"/>
  <c r="C89" i="1"/>
  <c r="B89" i="1" s="1"/>
  <c r="C90" i="1"/>
  <c r="B90" i="1" s="1"/>
  <c r="C91" i="1"/>
  <c r="B91" i="1" s="1"/>
  <c r="C92" i="1"/>
  <c r="B92" i="1" s="1"/>
  <c r="C93" i="1"/>
  <c r="B93" i="1" s="1"/>
  <c r="C94" i="1"/>
  <c r="B94" i="1" s="1"/>
  <c r="C95" i="1"/>
  <c r="B95" i="1" s="1"/>
  <c r="C96" i="1"/>
  <c r="B96" i="1" s="1"/>
  <c r="C97" i="1"/>
  <c r="B97" i="1" s="1"/>
  <c r="C98" i="1"/>
  <c r="B98" i="1" s="1"/>
  <c r="C99" i="1"/>
  <c r="B99" i="1" s="1"/>
  <c r="C100" i="1"/>
  <c r="B100" i="1" s="1"/>
  <c r="C101" i="1"/>
  <c r="B101" i="1" s="1"/>
  <c r="C102" i="1"/>
  <c r="B102" i="1" s="1"/>
  <c r="C103" i="1"/>
  <c r="B103" i="1" s="1"/>
  <c r="C104" i="1"/>
  <c r="B104" i="1" s="1"/>
  <c r="C105" i="1"/>
  <c r="B105" i="1" s="1"/>
  <c r="C106" i="1"/>
  <c r="B106" i="1" s="1"/>
  <c r="C107" i="1"/>
  <c r="B107" i="1" s="1"/>
  <c r="C108" i="1"/>
  <c r="B108" i="1" s="1"/>
  <c r="C109" i="1"/>
  <c r="B109" i="1" s="1"/>
  <c r="C110" i="1"/>
  <c r="B110" i="1" s="1"/>
  <c r="C111" i="1"/>
  <c r="B111" i="1" s="1"/>
  <c r="C112" i="1"/>
  <c r="B112" i="1" s="1"/>
  <c r="C113" i="1"/>
  <c r="B113" i="1" s="1"/>
  <c r="C114" i="1"/>
  <c r="B114" i="1" s="1"/>
  <c r="C115" i="1"/>
  <c r="B115" i="1" s="1"/>
  <c r="C116" i="1"/>
  <c r="B116" i="1" s="1"/>
  <c r="C117" i="1"/>
  <c r="B117" i="1" s="1"/>
  <c r="C118" i="1"/>
  <c r="B118" i="1" s="1"/>
  <c r="C119" i="1"/>
  <c r="B119" i="1" s="1"/>
  <c r="C120" i="1"/>
  <c r="B120" i="1" s="1"/>
  <c r="C121" i="1"/>
  <c r="B121" i="1" s="1"/>
  <c r="C122" i="1"/>
  <c r="B122" i="1" s="1"/>
  <c r="C123" i="1"/>
  <c r="B123" i="1" s="1"/>
  <c r="C124" i="1"/>
  <c r="B124" i="1" s="1"/>
  <c r="C125" i="1"/>
  <c r="B125" i="1" s="1"/>
  <c r="C126" i="1"/>
  <c r="B126" i="1" s="1"/>
  <c r="C127" i="1"/>
  <c r="B127" i="1" s="1"/>
  <c r="C128" i="1"/>
  <c r="B128" i="1" s="1"/>
  <c r="C129" i="1"/>
  <c r="B129" i="1" s="1"/>
  <c r="C130" i="1"/>
  <c r="B130" i="1" s="1"/>
  <c r="C131" i="1"/>
  <c r="B131" i="1" s="1"/>
  <c r="C132" i="1"/>
  <c r="B132" i="1" s="1"/>
  <c r="C133" i="1"/>
  <c r="B133" i="1" s="1"/>
  <c r="C134" i="1"/>
  <c r="B134" i="1" s="1"/>
  <c r="C135" i="1"/>
  <c r="B135" i="1" s="1"/>
  <c r="C136" i="1"/>
  <c r="B136" i="1" s="1"/>
  <c r="C137" i="1"/>
  <c r="B137" i="1" s="1"/>
  <c r="C138" i="1"/>
  <c r="B138" i="1" s="1"/>
  <c r="C139" i="1"/>
  <c r="B139" i="1" s="1"/>
  <c r="C140" i="1"/>
  <c r="B140" i="1" s="1"/>
  <c r="C141" i="1"/>
  <c r="B141" i="1" s="1"/>
  <c r="C142" i="1"/>
  <c r="B142" i="1" s="1"/>
  <c r="C143" i="1"/>
  <c r="B143" i="1" s="1"/>
  <c r="C144" i="1"/>
  <c r="B144" i="1" s="1"/>
  <c r="C145" i="1"/>
  <c r="B145" i="1" s="1"/>
  <c r="C146" i="1"/>
  <c r="B146" i="1" s="1"/>
  <c r="C147" i="1"/>
  <c r="B147" i="1" s="1"/>
  <c r="C148" i="1"/>
  <c r="B148" i="1" s="1"/>
  <c r="C149" i="1"/>
  <c r="B149" i="1" s="1"/>
  <c r="C150" i="1"/>
  <c r="B150" i="1" s="1"/>
  <c r="C151" i="1"/>
  <c r="B151" i="1" s="1"/>
  <c r="C152" i="1"/>
  <c r="B152" i="1" s="1"/>
  <c r="C37" i="1"/>
  <c r="R34" i="1"/>
  <c r="B42" i="1" l="1"/>
  <c r="B40" i="1"/>
  <c r="B39" i="1"/>
  <c r="B38" i="1"/>
  <c r="B37" i="1"/>
  <c r="Q34" i="1"/>
  <c r="K11" i="1" l="1"/>
  <c r="K15" i="1"/>
  <c r="K19" i="1"/>
  <c r="K12" i="1"/>
  <c r="K16" i="1"/>
  <c r="K20" i="1"/>
  <c r="K13" i="1"/>
  <c r="K17" i="1"/>
  <c r="K21" i="1"/>
  <c r="K14" i="1"/>
  <c r="K18" i="1"/>
  <c r="K22" i="1"/>
  <c r="K9" i="1"/>
  <c r="K10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C34" i="1"/>
</calcChain>
</file>

<file path=xl/sharedStrings.xml><?xml version="1.0" encoding="utf-8"?>
<sst xmlns="http://schemas.openxmlformats.org/spreadsheetml/2006/main" count="131" uniqueCount="98">
  <si>
    <t>Last Name</t>
  </si>
  <si>
    <t>First Name</t>
  </si>
  <si>
    <t>Gender</t>
  </si>
  <si>
    <t>Home Address</t>
  </si>
  <si>
    <t>Position</t>
  </si>
  <si>
    <t>Birthdate</t>
  </si>
  <si>
    <t>Mobile No.</t>
  </si>
  <si>
    <t>Last Name:</t>
  </si>
  <si>
    <t>First Name:</t>
  </si>
  <si>
    <t>Middle Name:</t>
  </si>
  <si>
    <t>Gender:</t>
  </si>
  <si>
    <t>Status:</t>
  </si>
  <si>
    <t>Birthdate:</t>
  </si>
  <si>
    <t>Home Address:</t>
  </si>
  <si>
    <t>Mobile No.:</t>
  </si>
  <si>
    <t>Province:</t>
  </si>
  <si>
    <t>Appointment:</t>
  </si>
  <si>
    <t>Position:</t>
  </si>
  <si>
    <t>Program:</t>
  </si>
  <si>
    <t>DSWD ID #:</t>
  </si>
  <si>
    <t>Contact Person &amp; No.:</t>
  </si>
  <si>
    <t>Middle name</t>
  </si>
  <si>
    <t>Select Row</t>
  </si>
  <si>
    <t>Contact Load</t>
  </si>
  <si>
    <t>E11</t>
  </si>
  <si>
    <t>E13</t>
  </si>
  <si>
    <t>E15</t>
  </si>
  <si>
    <t>E17</t>
  </si>
  <si>
    <t>E19</t>
  </si>
  <si>
    <t>E21</t>
  </si>
  <si>
    <t>E23</t>
  </si>
  <si>
    <t>E25</t>
  </si>
  <si>
    <t>I11</t>
  </si>
  <si>
    <t>I13</t>
  </si>
  <si>
    <t>I15</t>
  </si>
  <si>
    <t>I17</t>
  </si>
  <si>
    <t>I19</t>
  </si>
  <si>
    <t>I21</t>
  </si>
  <si>
    <t>Cebu</t>
  </si>
  <si>
    <t>Province(AOR)</t>
  </si>
  <si>
    <t>I23</t>
  </si>
  <si>
    <t>Picture</t>
  </si>
  <si>
    <t>New Contact</t>
  </si>
  <si>
    <t>Guardian/Parent's Name</t>
  </si>
  <si>
    <t>Emergency No.</t>
  </si>
  <si>
    <t>Grade level</t>
  </si>
  <si>
    <t>Section/Strand</t>
  </si>
  <si>
    <t>Voucher Y/N</t>
  </si>
  <si>
    <t>Age</t>
  </si>
  <si>
    <t>Last School Attended</t>
  </si>
  <si>
    <t>Barlas</t>
  </si>
  <si>
    <t>Playda</t>
  </si>
  <si>
    <t>Cebu City</t>
  </si>
  <si>
    <t>Province</t>
  </si>
  <si>
    <t>Permanent Address:</t>
  </si>
  <si>
    <t>N</t>
  </si>
  <si>
    <t>Tejero National highschool</t>
  </si>
  <si>
    <t>Arcadia P. Barlas</t>
  </si>
  <si>
    <t>Male</t>
  </si>
  <si>
    <t>Albert Bernard</t>
  </si>
  <si>
    <t>IC4AA</t>
  </si>
  <si>
    <t>AICS's Senior High Profiles</t>
  </si>
  <si>
    <t>asd</t>
  </si>
  <si>
    <t>Punay</t>
  </si>
  <si>
    <t>Doble</t>
  </si>
  <si>
    <t>Thea Nmarie</t>
  </si>
  <si>
    <t>F</t>
  </si>
  <si>
    <t>Y</t>
  </si>
  <si>
    <t>Oppra</t>
  </si>
  <si>
    <t>Xenia</t>
  </si>
  <si>
    <t>Villarin</t>
  </si>
  <si>
    <t>Alfar</t>
  </si>
  <si>
    <t>Laarnie</t>
  </si>
  <si>
    <t>male</t>
  </si>
  <si>
    <t>August 4 2001</t>
  </si>
  <si>
    <t>Tsokolete</t>
  </si>
  <si>
    <t>SEARCH LASTNAME</t>
  </si>
  <si>
    <t>Salamo</t>
  </si>
  <si>
    <t>liguid</t>
  </si>
  <si>
    <t>cebu city</t>
  </si>
  <si>
    <t>midanao</t>
  </si>
  <si>
    <t>ict</t>
  </si>
  <si>
    <t>peter paul</t>
  </si>
  <si>
    <t>lgbt</t>
  </si>
  <si>
    <t>june 9 2000</t>
  </si>
  <si>
    <t>y</t>
  </si>
  <si>
    <t>onhs</t>
  </si>
  <si>
    <t>mae salamo</t>
  </si>
  <si>
    <t>Last school year attended</t>
  </si>
  <si>
    <t>Antecristo</t>
  </si>
  <si>
    <t>Megio</t>
  </si>
  <si>
    <t>Jessa Mae</t>
  </si>
  <si>
    <t>Shemale</t>
  </si>
  <si>
    <t>Novermber 1-4, 2019</t>
  </si>
  <si>
    <t>0922ayg to-o</t>
  </si>
  <si>
    <t>Maybe</t>
  </si>
  <si>
    <t>badian sabaan</t>
  </si>
  <si>
    <t>Guardian 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</si>
</sst>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\(0\)"/>
    <numFmt numFmtId="165" formatCode="[$-3409]mmmm\ dd\,\ yyyy;@"/>
  </numFmts>
  <fonts count="11" x14ac:knownFonts="1">
    <font>
      <sz val="11"/>
      <color theme="1"/>
      <name val="Calibri"/>
      <family val="2"/>
      <scheme val="minor"/>
    </font>
    <font>
      <b/>
      <u/>
      <sz val="26"/>
      <color rgb="FFFF0000"/>
      <name val="Courier New"/>
      <family val="3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48"/>
      <color theme="4" tint="-0.249977111117893"/>
      <name val="Cooper Black"/>
      <family val="1"/>
    </font>
    <font>
      <sz val="11"/>
      <color theme="4" tint="0.3999755851924192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6"/>
      <color theme="1"/>
      <name val="Berlin Sans FB Demi"/>
      <family val="2"/>
    </font>
    <font>
      <sz val="16"/>
      <color theme="1"/>
      <name val="Arial Black"/>
      <family val="2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gradientFill degree="270">
        <stop position="0">
          <color theme="4" tint="0.80001220740379042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gradientFill degree="90"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80001220740379042"/>
        </stop>
        <stop position="1">
          <color theme="4" tint="0.40000610370189521"/>
        </stop>
      </gradientFill>
    </fill>
  </fills>
  <borders count="21">
    <border>
      <left/>
      <right/>
      <top/>
      <bottom/>
      <diagonal/>
    </border>
    <border>
      <left style="dashDotDot">
        <color theme="1" tint="0.14993743705557422"/>
      </left>
      <right style="thick">
        <color theme="1" tint="0.14993743705557422"/>
      </right>
      <top style="thick">
        <color theme="1" tint="0.14993743705557422"/>
      </top>
      <bottom style="thick">
        <color theme="1" tint="0.14993743705557422"/>
      </bottom>
      <diagonal/>
    </border>
    <border>
      <left style="medium">
        <color theme="1" tint="0.14996795556505021"/>
      </left>
      <right/>
      <top style="medium">
        <color theme="1" tint="0.14996795556505021"/>
      </top>
      <bottom style="medium">
        <color theme="1" tint="0.1499679555650502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rgb="FF002060"/>
      </left>
      <right style="mediumDashed">
        <color rgb="FF002060"/>
      </right>
      <top/>
      <bottom/>
      <diagonal/>
    </border>
    <border>
      <left style="mediumDashed">
        <color rgb="FF002060"/>
      </left>
      <right style="mediumDashed">
        <color rgb="FF002060"/>
      </right>
      <top/>
      <bottom/>
      <diagonal/>
    </border>
    <border>
      <left style="mediumDashed">
        <color rgb="FF002060"/>
      </left>
      <right style="thick">
        <color rgb="FF002060"/>
      </right>
      <top/>
      <bottom/>
      <diagonal/>
    </border>
    <border>
      <left style="thick">
        <color rgb="FF002060"/>
      </left>
      <right style="mediumDashed">
        <color rgb="FF002060"/>
      </right>
      <top/>
      <bottom style="medium">
        <color auto="1"/>
      </bottom>
      <diagonal/>
    </border>
    <border>
      <left style="mediumDashed">
        <color rgb="FF002060"/>
      </left>
      <right style="mediumDashed">
        <color rgb="FF002060"/>
      </right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4" borderId="0" xfId="0" applyFill="1"/>
    <xf numFmtId="0" fontId="2" fillId="6" borderId="2" xfId="0" applyFont="1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0" fillId="4" borderId="6" xfId="0" applyFill="1" applyBorder="1"/>
    <xf numFmtId="0" fontId="0" fillId="4" borderId="7" xfId="0" applyFill="1" applyBorder="1"/>
    <xf numFmtId="0" fontId="2" fillId="4" borderId="0" xfId="0" applyFont="1" applyFill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2" borderId="11" xfId="0" applyFill="1" applyBorder="1"/>
    <xf numFmtId="0" fontId="3" fillId="7" borderId="12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 wrapText="1"/>
    </xf>
    <xf numFmtId="0" fontId="0" fillId="2" borderId="19" xfId="0" applyFill="1" applyBorder="1"/>
    <xf numFmtId="0" fontId="0" fillId="2" borderId="20" xfId="0" applyFill="1" applyBorder="1"/>
    <xf numFmtId="0" fontId="0" fillId="4" borderId="0" xfId="0" applyFill="1" applyAlignment="1">
      <alignment wrapText="1"/>
    </xf>
    <xf numFmtId="0" fontId="0" fillId="8" borderId="0" xfId="0" applyFill="1"/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left"/>
    </xf>
    <xf numFmtId="0" fontId="5" fillId="4" borderId="0" xfId="0" applyFont="1" applyFill="1"/>
    <xf numFmtId="0" fontId="5" fillId="4" borderId="0" xfId="0" applyFont="1" applyFill="1" applyAlignment="1">
      <alignment horizontal="center"/>
    </xf>
    <xf numFmtId="0" fontId="6" fillId="4" borderId="0" xfId="0" applyFont="1" applyFill="1"/>
    <xf numFmtId="0" fontId="6" fillId="4" borderId="0" xfId="0" applyFont="1" applyFill="1" applyAlignment="1">
      <alignment wrapText="1"/>
    </xf>
    <xf numFmtId="0" fontId="7" fillId="4" borderId="0" xfId="0" applyFont="1" applyFill="1"/>
    <xf numFmtId="0" fontId="8" fillId="4" borderId="11" xfId="0" applyFont="1" applyFill="1" applyBorder="1"/>
    <xf numFmtId="0" fontId="9" fillId="8" borderId="11" xfId="0" applyFont="1" applyFill="1" applyBorder="1"/>
    <xf numFmtId="14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0" fillId="8" borderId="11" xfId="0" applyFont="1" applyFill="1" applyBorder="1"/>
    <xf numFmtId="0" fontId="0" fillId="0" borderId="14" xfId="0" applyBorder="1" applyAlignment="1">
      <alignment horizontal="center"/>
    </xf>
    <xf numFmtId="0" fontId="4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0.40000610370189521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33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5</xdr:row>
      <xdr:rowOff>179615</xdr:rowOff>
    </xdr:from>
    <xdr:to>
      <xdr:col>4</xdr:col>
      <xdr:colOff>2514600</xdr:colOff>
      <xdr:row>6</xdr:row>
      <xdr:rowOff>161380</xdr:rowOff>
    </xdr:to>
    <xdr:grpSp>
      <xdr:nvGrpSpPr>
        <xdr:cNvPr id="37" name="NewContGrp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3524250" y="3050722"/>
          <a:ext cx="3426279" cy="281122"/>
          <a:chOff x="3086100" y="1466850"/>
          <a:chExt cx="2981325" cy="274320"/>
        </a:xfrm>
      </xdr:grpSpPr>
      <xdr:grpSp>
        <xdr:nvGrpSpPr>
          <xdr:cNvPr id="30" name="Cancel" hidden="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4695825" y="1466850"/>
            <a:ext cx="1371600" cy="274320"/>
            <a:chOff x="4714875" y="1466850"/>
            <a:chExt cx="1371600" cy="274320"/>
          </a:xfrm>
        </xdr:grpSpPr>
        <xdr:sp macro="" textlink="">
          <xdr:nvSpPr>
            <xdr:cNvPr id="18" name="Rounded Rectangle 17" hidden="1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4714875" y="1466850"/>
              <a:ext cx="1371600" cy="274320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fil-PH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Cancel</a:t>
              </a:r>
              <a:r>
                <a:rPr lang="fil-PH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New</a:t>
              </a:r>
              <a:endParaRPr lang="fil-PH" sz="1400" b="0" cap="none" spc="0">
                <a:ln w="22225">
                  <a:solidFill>
                    <a:schemeClr val="tx1"/>
                  </a:solidFill>
                  <a:prstDash val="solid"/>
                </a:ln>
                <a:solidFill>
                  <a:schemeClr val="tx1"/>
                </a:solidFill>
                <a:effectLst/>
              </a:endParaRPr>
            </a:p>
          </xdr:txBody>
        </xdr:sp>
        <xdr:pic>
          <xdr:nvPicPr>
            <xdr:cNvPr id="26" name="Picture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BEBA8EAE-BF5A-486C-A8C5-ECC9F3942E4B}">
                  <a14:imgProps xmlns:a14="http://schemas.microsoft.com/office/drawing/2010/main">
                    <a14:imgLayer>
                      <a14:imgEffect>
                        <a14:backgroundRemoval t="2830" b="98585" l="9664" r="91597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69625" y="1495424"/>
              <a:ext cx="256637" cy="228601"/>
            </a:xfrm>
            <a:prstGeom prst="rect">
              <a:avLst/>
            </a:prstGeom>
          </xdr:spPr>
        </xdr:pic>
      </xdr:grpSp>
      <xdr:grpSp>
        <xdr:nvGrpSpPr>
          <xdr:cNvPr id="32" name="SaveProfile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3086100" y="1466850"/>
            <a:ext cx="1276350" cy="274320"/>
            <a:chOff x="3086100" y="1466850"/>
            <a:chExt cx="1276350" cy="274320"/>
          </a:xfrm>
        </xdr:grpSpPr>
        <xdr:sp macro="" textlink="">
          <xdr:nvSpPr>
            <xdr:cNvPr id="28" name="Rounded Rectangle 27" hidden="1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3086100" y="1466850"/>
              <a:ext cx="1276350" cy="274320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fil-PH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Save</a:t>
              </a:r>
              <a:r>
                <a:rPr lang="fil-PH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Profile</a:t>
              </a:r>
              <a:endParaRPr lang="fil-PH" sz="1400" b="0" cap="none" spc="0">
                <a:ln w="22225">
                  <a:solidFill>
                    <a:schemeClr val="tx1"/>
                  </a:solidFill>
                  <a:prstDash val="solid"/>
                </a:ln>
                <a:solidFill>
                  <a:schemeClr val="tx1"/>
                </a:solidFill>
                <a:effectLst/>
              </a:endParaRPr>
            </a:p>
          </xdr:txBody>
        </xdr:sp>
        <xdr:pic>
          <xdr:nvPicPr>
            <xdr:cNvPr id="31" name="Picture 30" hidden="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BEBA8EAE-BF5A-486C-A8C5-ECC9F3942E4B}">
                  <a14:imgProps xmlns:a14="http://schemas.microsoft.com/office/drawing/2010/main">
                    <a14:imgLayer>
                      <a14:imgEffect>
                        <a14:backgroundRemoval t="0" b="98667" l="2667" r="96889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71827" y="1485902"/>
              <a:ext cx="219074" cy="21907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408216</xdr:colOff>
      <xdr:row>5</xdr:row>
      <xdr:rowOff>152399</xdr:rowOff>
    </xdr:from>
    <xdr:to>
      <xdr:col>4</xdr:col>
      <xdr:colOff>2843894</xdr:colOff>
      <xdr:row>6</xdr:row>
      <xdr:rowOff>204107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70466" y="3023506"/>
          <a:ext cx="3995057" cy="351065"/>
          <a:chOff x="6436179" y="1445077"/>
          <a:chExt cx="3758293" cy="351066"/>
        </a:xfrm>
      </xdr:grpSpPr>
      <xdr:sp macro="[0]!Cont_save" textlink="">
        <xdr:nvSpPr>
          <xdr:cNvPr id="4" name="SaveProf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436179" y="1455964"/>
            <a:ext cx="1755321" cy="340179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PH" sz="1600" b="1">
                <a:solidFill>
                  <a:schemeClr val="tx1"/>
                </a:solidFill>
                <a:latin typeface="Arial Rounded MT Bold" panose="020F0704030504030204" pitchFamily="34" charset="0"/>
              </a:rPr>
              <a:t>Save</a:t>
            </a:r>
            <a:r>
              <a:rPr lang="en-PH" sz="1600" b="1" baseline="0">
                <a:solidFill>
                  <a:schemeClr val="tx1"/>
                </a:solidFill>
                <a:latin typeface="Arial Rounded MT Bold" panose="020F0704030504030204" pitchFamily="34" charset="0"/>
              </a:rPr>
              <a:t> Profile</a:t>
            </a:r>
            <a:endParaRPr lang="en-PH" sz="1600" b="1">
              <a:solidFill>
                <a:schemeClr val="tx1"/>
              </a:solidFill>
              <a:latin typeface="Arial Rounded MT Bold" panose="020F0704030504030204" pitchFamily="34" charset="0"/>
            </a:endParaRPr>
          </a:p>
        </xdr:txBody>
      </xdr:sp>
      <xdr:sp macro="[0]!Cont_CancelNew" textlink="">
        <xdr:nvSpPr>
          <xdr:cNvPr id="19" name="CancelNew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8439151" y="1445077"/>
            <a:ext cx="1755321" cy="340179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PH" sz="1600" b="1">
                <a:solidFill>
                  <a:schemeClr val="tx1"/>
                </a:solidFill>
                <a:latin typeface="Arial Rounded MT Bold" panose="020F0704030504030204" pitchFamily="34" charset="0"/>
              </a:rPr>
              <a:t>Cancel</a:t>
            </a:r>
            <a:r>
              <a:rPr lang="en-PH" sz="1600" b="1" baseline="0">
                <a:solidFill>
                  <a:schemeClr val="tx1"/>
                </a:solidFill>
                <a:latin typeface="Arial Rounded MT Bold" panose="020F0704030504030204" pitchFamily="34" charset="0"/>
              </a:rPr>
              <a:t> new</a:t>
            </a:r>
          </a:p>
          <a:p>
            <a:pPr algn="r"/>
            <a:endParaRPr lang="en-PH" sz="1600" b="1">
              <a:solidFill>
                <a:schemeClr val="tx1"/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3</xdr:col>
      <xdr:colOff>236763</xdr:colOff>
      <xdr:row>5</xdr:row>
      <xdr:rowOff>136072</xdr:rowOff>
    </xdr:from>
    <xdr:to>
      <xdr:col>4</xdr:col>
      <xdr:colOff>2925535</xdr:colOff>
      <xdr:row>7</xdr:row>
      <xdr:rowOff>49109</xdr:rowOff>
    </xdr:to>
    <xdr:grpSp>
      <xdr:nvGrpSpPr>
        <xdr:cNvPr id="3" name="ExitContGr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999013" y="3007179"/>
          <a:ext cx="4171951" cy="525359"/>
          <a:chOff x="5938156" y="989242"/>
          <a:chExt cx="3091545" cy="304256"/>
        </a:xfrm>
      </xdr:grpSpPr>
      <xdr:grpSp>
        <xdr:nvGrpSpPr>
          <xdr:cNvPr id="33" name="AddNew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5938156" y="989242"/>
            <a:ext cx="1474428" cy="280896"/>
            <a:chOff x="3009899" y="2038350"/>
            <a:chExt cx="1476375" cy="274320"/>
          </a:xfrm>
        </xdr:grpSpPr>
        <xdr:sp macro="[0]!Cont_New" textlink="">
          <xdr:nvSpPr>
            <xdr:cNvPr id="22" name="AddNewProf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3009899" y="2038350"/>
              <a:ext cx="1476375" cy="274320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fil-PH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Add New</a:t>
              </a:r>
              <a:r>
                <a:rPr lang="fil-PH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Profile</a:t>
              </a:r>
              <a:endParaRPr lang="fil-PH" sz="1400" b="0" cap="none" spc="0">
                <a:ln w="22225">
                  <a:solidFill>
                    <a:schemeClr val="tx1"/>
                  </a:solidFill>
                  <a:prstDash val="solid"/>
                </a:ln>
                <a:solidFill>
                  <a:schemeClr val="tx1"/>
                </a:solidFill>
                <a:effectLst/>
              </a:endParaRPr>
            </a:p>
          </xdr:txBody>
        </xdr:sp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biLevel thresh="50000"/>
              <a:extLst>
                <a:ext uri="{BEBA8EAE-BF5A-486C-A8C5-ECC9F3942E4B}">
                  <a14:imgProps xmlns:a14="http://schemas.microsoft.com/office/drawing/2010/main">
                    <a14:imgLayer>
                      <a14:imgEffect>
                        <a14:backgroundRemoval t="2083" b="95417" l="0" r="95238">
                          <a14:foregroundMark x1="50952" y1="33333" x2="50952" y2="33333"/>
                          <a14:foregroundMark x1="76667" y1="75417" x2="76667" y2="75417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38476" y="2076450"/>
              <a:ext cx="183106" cy="209264"/>
            </a:xfrm>
            <a:prstGeom prst="rect">
              <a:avLst/>
            </a:prstGeom>
          </xdr:spPr>
        </xdr:pic>
      </xdr:grp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551965" y="993321"/>
            <a:ext cx="1477736" cy="300177"/>
            <a:chOff x="7551965" y="993321"/>
            <a:chExt cx="1477736" cy="300177"/>
          </a:xfrm>
        </xdr:grpSpPr>
        <xdr:sp macro="[0]!Cont_Delete" textlink="">
          <xdr:nvSpPr>
            <xdr:cNvPr id="29" name="Delete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7551965" y="993321"/>
              <a:ext cx="1477736" cy="30017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fil-PH" sz="14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Delete</a:t>
              </a:r>
              <a:r>
                <a:rPr lang="fil-PH" sz="14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Profile</a:t>
              </a:r>
              <a:endParaRPr lang="fil-PH" sz="1400" b="0" cap="none" spc="0">
                <a:ln w="22225">
                  <a:solidFill>
                    <a:schemeClr val="tx1"/>
                  </a:solidFill>
                  <a:prstDash val="solid"/>
                </a:ln>
                <a:solidFill>
                  <a:schemeClr val="tx1"/>
                </a:solidFill>
                <a:effectLst/>
              </a:endParaRPr>
            </a:p>
          </xdr:txBody>
        </xdr:sp>
        <xdr:pic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BEBA8EAE-BF5A-486C-A8C5-ECC9F3942E4B}">
                  <a14:imgProps xmlns:a14="http://schemas.microsoft.com/office/drawing/2010/main">
                    <a14:imgLayer>
                      <a14:imgEffect>
                        <a14:backgroundRemoval t="1778" b="100000" l="0" r="100000">
                          <a14:foregroundMark x1="77333" y1="63111" x2="77333" y2="63111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75225" y="1049955"/>
              <a:ext cx="200024" cy="20682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9</xdr:col>
      <xdr:colOff>1374109</xdr:colOff>
      <xdr:row>0</xdr:row>
      <xdr:rowOff>94014</xdr:rowOff>
    </xdr:from>
    <xdr:to>
      <xdr:col>10</xdr:col>
      <xdr:colOff>1091666</xdr:colOff>
      <xdr:row>0</xdr:row>
      <xdr:rowOff>2027467</xdr:rowOff>
    </xdr:to>
    <xdr:pic>
      <xdr:nvPicPr>
        <xdr:cNvPr id="1025" name="Picture 1" descr="Image result for aics logo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15892930" y="94014"/>
          <a:ext cx="1921915" cy="1933453"/>
        </a:xfrm>
        <a:prstGeom prst="ellipse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86"/>
  <sheetViews>
    <sheetView tabSelected="1" topLeftCell="C25" zoomScale="70" zoomScaleNormal="70" workbookViewId="0">
      <selection activeCell="F9" sqref="F9"/>
    </sheetView>
  </sheetViews>
  <sheetFormatPr defaultRowHeight="15" x14ac:dyDescent="0.25"/>
  <cols>
    <col min="1" max="1" width="10.5703125" customWidth="1"/>
    <col min="2" max="2" width="14.28515625" customWidth="1"/>
    <col min="3" max="3" width="16.5703125" customWidth="1"/>
    <col min="4" max="4" width="25.140625" customWidth="1"/>
    <col min="5" max="5" width="41" customWidth="1"/>
    <col min="6" max="6" width="20.7109375" customWidth="1"/>
    <col min="7" max="7" width="14.140625" customWidth="1"/>
    <col min="8" max="8" width="33.140625" customWidth="1"/>
    <col min="9" max="9" width="42.140625" customWidth="1"/>
    <col min="10" max="10" width="33.140625" customWidth="1"/>
    <col min="11" max="11" width="39.5703125" customWidth="1"/>
    <col min="12" max="12" width="24.5703125" customWidth="1"/>
    <col min="13" max="13" width="24.42578125" customWidth="1"/>
    <col min="14" max="14" width="18.85546875" customWidth="1"/>
    <col min="15" max="15" width="39.140625" customWidth="1"/>
    <col min="16" max="16" width="37.28515625" customWidth="1"/>
    <col min="17" max="17" width="43.7109375" customWidth="1"/>
    <col min="18" max="18" width="24.42578125" customWidth="1"/>
    <col min="19" max="19" width="20.5703125" customWidth="1"/>
    <col min="20" max="20" width="18.7109375" customWidth="1"/>
    <col min="21" max="21" width="6.42578125" customWidth="1"/>
    <col min="22" max="22" width="9.42578125" customWidth="1"/>
    <col min="23" max="23" width="22.42578125" customWidth="1"/>
    <col min="24" max="24" width="11.7109375" customWidth="1"/>
  </cols>
  <sheetData>
    <row r="1" spans="1:27" ht="161.25" customHeight="1" thickTop="1" x14ac:dyDescent="0.25">
      <c r="A1" s="28"/>
      <c r="B1" s="28"/>
      <c r="C1" s="40" t="s">
        <v>61</v>
      </c>
      <c r="D1" s="41"/>
      <c r="E1" s="41"/>
      <c r="F1" s="41"/>
      <c r="G1" s="41"/>
      <c r="H1" s="41"/>
      <c r="I1" s="41"/>
      <c r="J1" s="41"/>
      <c r="K1" s="41"/>
      <c r="L1" s="42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28"/>
      <c r="B2" s="28"/>
      <c r="C2" s="3"/>
      <c r="D2" s="4"/>
      <c r="E2" s="4"/>
      <c r="F2" s="4"/>
      <c r="G2" s="4"/>
      <c r="H2" s="4"/>
      <c r="I2" s="4"/>
      <c r="J2" s="4"/>
      <c r="K2" s="4"/>
      <c r="L2" s="5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28"/>
      <c r="B3" s="28"/>
      <c r="C3" s="6"/>
      <c r="D3" s="1"/>
      <c r="E3" s="1"/>
      <c r="F3" s="1"/>
      <c r="G3" s="1"/>
      <c r="H3" s="1"/>
      <c r="I3" s="1"/>
      <c r="J3" s="1"/>
      <c r="K3" s="1"/>
      <c r="L3" s="7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28"/>
      <c r="B4" s="28"/>
      <c r="C4" s="6"/>
      <c r="D4" s="1"/>
      <c r="E4" s="1"/>
      <c r="F4" s="1"/>
      <c r="G4" s="1"/>
      <c r="H4" s="1"/>
      <c r="I4" s="1"/>
      <c r="J4" s="1"/>
      <c r="K4" s="1"/>
      <c r="L4" s="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.75" x14ac:dyDescent="0.3">
      <c r="A5" s="28" t="s">
        <v>22</v>
      </c>
      <c r="B5" s="29">
        <v>37</v>
      </c>
      <c r="C5" s="6"/>
      <c r="D5" s="1"/>
      <c r="E5" s="1"/>
      <c r="F5" s="8"/>
      <c r="G5" s="1"/>
      <c r="H5" s="1"/>
      <c r="I5" s="1"/>
      <c r="J5" s="1"/>
      <c r="K5" s="1"/>
      <c r="L5" s="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24" customHeight="1" x14ac:dyDescent="0.3">
      <c r="A6" s="28" t="s">
        <v>42</v>
      </c>
      <c r="B6" s="29" t="b">
        <v>0</v>
      </c>
      <c r="C6" s="6"/>
      <c r="D6" s="8"/>
      <c r="E6" s="8"/>
      <c r="F6" s="8"/>
      <c r="G6" s="8"/>
      <c r="H6" s="8"/>
      <c r="I6" s="8"/>
      <c r="J6" s="8"/>
      <c r="K6" s="8"/>
      <c r="L6" s="7"/>
      <c r="M6" s="1"/>
      <c r="N6" s="1"/>
      <c r="O6" s="1"/>
      <c r="P6" s="1"/>
      <c r="Q6" s="1"/>
      <c r="R6" s="30"/>
      <c r="S6" s="30"/>
      <c r="T6" s="30"/>
      <c r="U6" s="30"/>
      <c r="V6" s="30"/>
      <c r="W6" s="30"/>
      <c r="X6" s="30"/>
      <c r="Y6" s="30"/>
      <c r="Z6" s="1"/>
      <c r="AA6" s="1"/>
    </row>
    <row r="7" spans="1:27" ht="24.75" x14ac:dyDescent="0.5">
      <c r="A7" s="28" t="s">
        <v>23</v>
      </c>
      <c r="B7" s="29" t="b">
        <v>0</v>
      </c>
      <c r="C7" s="6"/>
      <c r="D7" s="1"/>
      <c r="E7" s="1"/>
      <c r="F7" s="1"/>
      <c r="G7" s="8"/>
      <c r="H7" s="1"/>
      <c r="I7" s="1"/>
      <c r="J7" s="33" t="s">
        <v>76</v>
      </c>
      <c r="K7" s="34" t="s">
        <v>89</v>
      </c>
      <c r="L7" s="7"/>
      <c r="M7" s="1"/>
      <c r="N7" s="1"/>
      <c r="O7" s="1"/>
      <c r="P7" s="1"/>
      <c r="Q7" s="1"/>
      <c r="R7" s="30"/>
      <c r="S7" s="30"/>
      <c r="T7" s="30"/>
      <c r="U7" s="30"/>
      <c r="V7" s="30"/>
      <c r="W7" s="30"/>
      <c r="X7" s="30"/>
      <c r="Y7" s="30"/>
      <c r="Z7" s="1"/>
      <c r="AA7" s="1"/>
    </row>
    <row r="8" spans="1:27" ht="18.75" x14ac:dyDescent="0.3">
      <c r="A8" s="28"/>
      <c r="B8" s="28"/>
      <c r="C8" s="6"/>
      <c r="D8" s="8"/>
      <c r="E8" s="8"/>
      <c r="F8" s="8"/>
      <c r="G8" s="8"/>
      <c r="H8" s="8"/>
      <c r="I8" s="8"/>
      <c r="J8" s="8"/>
      <c r="K8" s="8"/>
      <c r="L8" s="7"/>
      <c r="M8" s="1"/>
      <c r="N8" s="1"/>
      <c r="O8" s="1"/>
      <c r="P8" s="1"/>
      <c r="Q8" s="1"/>
      <c r="R8" s="30"/>
      <c r="S8" s="31" t="s">
        <v>41</v>
      </c>
      <c r="T8" s="31"/>
      <c r="U8" s="31"/>
      <c r="V8" s="31"/>
      <c r="W8" s="31"/>
      <c r="X8" s="31"/>
      <c r="Y8" s="30"/>
      <c r="Z8" s="1"/>
      <c r="AA8" s="1"/>
    </row>
    <row r="9" spans="1:27" ht="18.75" x14ac:dyDescent="0.3">
      <c r="A9" s="28"/>
      <c r="B9" s="28"/>
      <c r="C9" s="6"/>
      <c r="D9" s="1"/>
      <c r="E9" s="1"/>
      <c r="F9" s="8"/>
      <c r="G9" s="8"/>
      <c r="H9" s="1"/>
      <c r="I9" s="1"/>
      <c r="J9" s="1"/>
      <c r="K9" s="1" t="str">
        <f>IFERROR(VLOOKUP(J9,$B$37:$D$999,3,FALSE),"")</f>
        <v/>
      </c>
      <c r="L9" s="7"/>
      <c r="M9" s="1"/>
      <c r="N9" s="1"/>
      <c r="O9" s="1"/>
      <c r="P9" s="1"/>
      <c r="Q9" s="1"/>
      <c r="R9" s="30"/>
      <c r="S9" s="32" t="s">
        <v>7</v>
      </c>
      <c r="T9" s="32">
        <v>4</v>
      </c>
      <c r="U9" s="32"/>
      <c r="V9" s="32"/>
      <c r="W9" s="32" t="s">
        <v>15</v>
      </c>
      <c r="X9" s="32">
        <v>12</v>
      </c>
      <c r="Y9" s="30"/>
      <c r="Z9" s="1"/>
      <c r="AA9" s="1"/>
    </row>
    <row r="10" spans="1:27" ht="30" customHeight="1" thickBot="1" x14ac:dyDescent="0.5">
      <c r="A10" s="28"/>
      <c r="B10" s="28"/>
      <c r="C10" s="6"/>
      <c r="D10" s="8"/>
      <c r="E10" s="8"/>
      <c r="F10" s="8"/>
      <c r="G10" s="8"/>
      <c r="H10" s="8"/>
      <c r="I10" s="8"/>
      <c r="J10" s="32">
        <v>1</v>
      </c>
      <c r="K10" s="38" t="str">
        <f t="shared" ref="K10:K22" si="0">IFERROR(VLOOKUP(J10,$B$37:$D$999,3,FALSE),"")</f>
        <v>Antecristo</v>
      </c>
      <c r="L10" s="7"/>
      <c r="M10" s="1"/>
      <c r="N10" s="1"/>
      <c r="O10" s="1"/>
      <c r="P10" s="1"/>
      <c r="Q10" s="1"/>
      <c r="R10" s="30"/>
      <c r="S10" s="32"/>
      <c r="T10" s="32"/>
      <c r="U10" s="32"/>
      <c r="V10" s="32"/>
      <c r="W10" s="32"/>
      <c r="X10" s="32"/>
      <c r="Y10" s="30"/>
      <c r="Z10" s="1"/>
      <c r="AA10" s="1"/>
    </row>
    <row r="11" spans="1:27" ht="27" customHeight="1" thickTop="1" thickBot="1" x14ac:dyDescent="0.35">
      <c r="A11" s="28"/>
      <c r="B11" s="28"/>
      <c r="C11" s="6"/>
      <c r="D11" s="2" t="s">
        <v>0</v>
      </c>
      <c r="E11" s="20" t="s">
        <v>50</v>
      </c>
      <c r="F11" s="8"/>
      <c r="G11" s="8"/>
      <c r="H11" s="2" t="s">
        <v>1</v>
      </c>
      <c r="I11" s="20" t="s">
        <v>59</v>
      </c>
      <c r="J11" s="1"/>
      <c r="K11" s="30" t="str">
        <f t="shared" si="0"/>
        <v/>
      </c>
      <c r="L11" s="7"/>
      <c r="M11" s="1"/>
      <c r="N11" s="1"/>
      <c r="O11" s="1"/>
      <c r="P11" s="1"/>
      <c r="Q11" s="1"/>
      <c r="R11" s="30"/>
      <c r="S11" s="32" t="s">
        <v>8</v>
      </c>
      <c r="T11" s="32">
        <v>5</v>
      </c>
      <c r="U11" s="32"/>
      <c r="V11" s="32"/>
      <c r="W11" s="32" t="s">
        <v>16</v>
      </c>
      <c r="X11" s="32">
        <v>13</v>
      </c>
      <c r="Y11" s="31"/>
      <c r="Z11" s="1"/>
      <c r="AA11" s="1"/>
    </row>
    <row r="12" spans="1:27" ht="19.5" thickBot="1" x14ac:dyDescent="0.35">
      <c r="A12" s="28"/>
      <c r="B12" s="28"/>
      <c r="C12" s="6"/>
      <c r="D12" s="8"/>
      <c r="E12" s="8"/>
      <c r="F12" s="8"/>
      <c r="G12" s="8"/>
      <c r="H12" s="8"/>
      <c r="I12" s="8"/>
      <c r="J12" s="8"/>
      <c r="K12" s="30" t="str">
        <f t="shared" si="0"/>
        <v/>
      </c>
      <c r="L12" s="7"/>
      <c r="M12" s="1"/>
      <c r="N12" s="1"/>
      <c r="O12" s="1"/>
      <c r="P12" s="1"/>
      <c r="Q12" s="1"/>
      <c r="R12" s="30"/>
      <c r="S12" s="32"/>
      <c r="T12" s="32"/>
      <c r="U12" s="32"/>
      <c r="V12" s="32"/>
      <c r="W12" s="32"/>
      <c r="X12" s="32"/>
      <c r="Y12" s="31"/>
      <c r="Z12" s="1"/>
      <c r="AA12" s="1"/>
    </row>
    <row r="13" spans="1:27" ht="20.25" thickTop="1" thickBot="1" x14ac:dyDescent="0.35">
      <c r="A13" s="28"/>
      <c r="B13" s="28"/>
      <c r="C13" s="6"/>
      <c r="D13" s="2" t="s">
        <v>21</v>
      </c>
      <c r="E13" s="20" t="s">
        <v>51</v>
      </c>
      <c r="F13" s="8"/>
      <c r="G13" s="8"/>
      <c r="H13" s="2" t="s">
        <v>2</v>
      </c>
      <c r="I13" s="20" t="s">
        <v>58</v>
      </c>
      <c r="J13" s="1"/>
      <c r="K13" s="30" t="str">
        <f t="shared" si="0"/>
        <v/>
      </c>
      <c r="L13" s="7"/>
      <c r="M13" s="1"/>
      <c r="N13" s="1"/>
      <c r="O13" s="1"/>
      <c r="P13" s="1"/>
      <c r="Q13" s="1"/>
      <c r="R13" s="30"/>
      <c r="S13" s="32" t="s">
        <v>9</v>
      </c>
      <c r="T13" s="32">
        <v>6</v>
      </c>
      <c r="U13" s="32"/>
      <c r="V13" s="32"/>
      <c r="W13" s="32" t="s">
        <v>17</v>
      </c>
      <c r="X13" s="32">
        <v>14</v>
      </c>
      <c r="Y13" s="31"/>
      <c r="Z13" s="1"/>
      <c r="AA13" s="1"/>
    </row>
    <row r="14" spans="1:27" ht="19.5" thickBot="1" x14ac:dyDescent="0.35">
      <c r="A14" s="28"/>
      <c r="B14" s="28"/>
      <c r="C14" s="6"/>
      <c r="D14" s="8"/>
      <c r="E14" s="8"/>
      <c r="F14" s="8"/>
      <c r="G14" s="8"/>
      <c r="H14" s="8"/>
      <c r="I14" s="8"/>
      <c r="J14" s="8"/>
      <c r="K14" s="30" t="str">
        <f t="shared" si="0"/>
        <v/>
      </c>
      <c r="L14" s="7"/>
      <c r="M14" s="1"/>
      <c r="N14" s="1"/>
      <c r="O14" s="1"/>
      <c r="P14" s="1"/>
      <c r="Q14" s="1"/>
      <c r="R14" s="30"/>
      <c r="S14" s="32"/>
      <c r="T14" s="32"/>
      <c r="U14" s="32"/>
      <c r="V14" s="32"/>
      <c r="W14" s="32"/>
      <c r="X14" s="32"/>
      <c r="Y14" s="31"/>
      <c r="Z14" s="1"/>
      <c r="AA14" s="1"/>
    </row>
    <row r="15" spans="1:27" ht="20.25" thickTop="1" thickBot="1" x14ac:dyDescent="0.35">
      <c r="A15" s="28"/>
      <c r="B15" s="28"/>
      <c r="C15" s="6"/>
      <c r="D15" s="2" t="s">
        <v>48</v>
      </c>
      <c r="E15" s="20">
        <v>20</v>
      </c>
      <c r="F15" s="8"/>
      <c r="G15" s="8"/>
      <c r="H15" s="2" t="s">
        <v>5</v>
      </c>
      <c r="I15" s="27">
        <v>36392</v>
      </c>
      <c r="J15" s="1"/>
      <c r="K15" s="30" t="str">
        <f t="shared" si="0"/>
        <v/>
      </c>
      <c r="L15" s="7"/>
      <c r="M15" s="1"/>
      <c r="N15" s="1"/>
      <c r="O15" s="1"/>
      <c r="P15" s="1"/>
      <c r="Q15" s="1"/>
      <c r="R15" s="30"/>
      <c r="S15" s="32" t="s">
        <v>10</v>
      </c>
      <c r="T15" s="32">
        <v>7</v>
      </c>
      <c r="U15" s="32"/>
      <c r="V15" s="32"/>
      <c r="W15" s="32" t="s">
        <v>18</v>
      </c>
      <c r="X15" s="32">
        <v>15</v>
      </c>
      <c r="Y15" s="31"/>
      <c r="Z15" s="1"/>
      <c r="AA15" s="1"/>
    </row>
    <row r="16" spans="1:27" ht="19.5" thickBot="1" x14ac:dyDescent="0.35">
      <c r="A16" s="28"/>
      <c r="B16" s="28"/>
      <c r="C16" s="6"/>
      <c r="D16" s="8"/>
      <c r="E16" s="8"/>
      <c r="F16" s="8"/>
      <c r="G16" s="8"/>
      <c r="H16" s="8"/>
      <c r="I16" s="8"/>
      <c r="J16" s="8"/>
      <c r="K16" s="30" t="str">
        <f t="shared" si="0"/>
        <v/>
      </c>
      <c r="L16" s="7"/>
      <c r="M16" s="1"/>
      <c r="N16" s="1"/>
      <c r="O16" s="1"/>
      <c r="P16" s="1"/>
      <c r="Q16" s="1"/>
      <c r="R16" s="30"/>
      <c r="S16" s="32"/>
      <c r="T16" s="32"/>
      <c r="U16" s="32"/>
      <c r="V16" s="32"/>
      <c r="W16" s="32"/>
      <c r="X16" s="32"/>
      <c r="Y16" s="31"/>
      <c r="Z16" s="1"/>
      <c r="AA16" s="1"/>
    </row>
    <row r="17" spans="1:27" ht="20.25" thickTop="1" thickBot="1" x14ac:dyDescent="0.35">
      <c r="A17" s="28"/>
      <c r="B17" s="28"/>
      <c r="C17" s="6"/>
      <c r="D17" s="2" t="s">
        <v>54</v>
      </c>
      <c r="E17" s="20" t="s">
        <v>52</v>
      </c>
      <c r="F17" s="8"/>
      <c r="G17" s="8"/>
      <c r="H17" s="2" t="s">
        <v>6</v>
      </c>
      <c r="I17" s="20">
        <v>9097262651</v>
      </c>
      <c r="J17" s="8"/>
      <c r="K17" s="30" t="str">
        <f t="shared" si="0"/>
        <v/>
      </c>
      <c r="L17" s="7"/>
      <c r="M17" s="1"/>
      <c r="N17" s="1"/>
      <c r="O17" s="1"/>
      <c r="P17" s="1"/>
      <c r="Q17" s="1"/>
      <c r="R17" s="30"/>
      <c r="S17" s="32" t="s">
        <v>11</v>
      </c>
      <c r="T17" s="32">
        <v>8</v>
      </c>
      <c r="U17" s="32"/>
      <c r="V17" s="32"/>
      <c r="W17" s="32" t="s">
        <v>19</v>
      </c>
      <c r="X17" s="32">
        <v>16</v>
      </c>
      <c r="Y17" s="31"/>
      <c r="Z17" s="1"/>
      <c r="AA17" s="1"/>
    </row>
    <row r="18" spans="1:27" ht="19.5" thickBot="1" x14ac:dyDescent="0.35">
      <c r="A18" s="28"/>
      <c r="B18" s="28"/>
      <c r="C18" s="6"/>
      <c r="D18" s="8"/>
      <c r="E18" s="8"/>
      <c r="F18" s="8"/>
      <c r="G18" s="8"/>
      <c r="H18" s="8"/>
      <c r="I18" s="8"/>
      <c r="J18" s="8"/>
      <c r="K18" s="30" t="str">
        <f t="shared" si="0"/>
        <v/>
      </c>
      <c r="L18" s="7"/>
      <c r="M18" s="1"/>
      <c r="N18" s="1"/>
      <c r="O18" s="1"/>
      <c r="P18" s="1"/>
      <c r="Q18" s="1"/>
      <c r="R18" s="30"/>
      <c r="S18" s="30"/>
      <c r="T18" s="30"/>
      <c r="U18" s="30"/>
      <c r="V18" s="30"/>
      <c r="W18" s="30"/>
      <c r="X18" s="30"/>
      <c r="Y18" s="31"/>
      <c r="Z18" s="1"/>
      <c r="AA18" s="1"/>
    </row>
    <row r="19" spans="1:27" ht="20.25" thickTop="1" thickBot="1" x14ac:dyDescent="0.35">
      <c r="A19" s="28"/>
      <c r="B19" s="28"/>
      <c r="C19" s="6"/>
      <c r="D19" s="2" t="s">
        <v>53</v>
      </c>
      <c r="E19" s="20" t="s">
        <v>38</v>
      </c>
      <c r="F19" s="8"/>
      <c r="G19" s="8"/>
      <c r="H19" s="2" t="s">
        <v>47</v>
      </c>
      <c r="I19" s="20" t="s">
        <v>55</v>
      </c>
      <c r="J19" s="8"/>
      <c r="K19" s="30" t="str">
        <f t="shared" si="0"/>
        <v/>
      </c>
      <c r="L19" s="7"/>
      <c r="M19" s="1"/>
      <c r="N19" s="1"/>
      <c r="O19" s="1"/>
      <c r="P19" s="1"/>
      <c r="Q19" s="1"/>
      <c r="R19" s="30"/>
      <c r="S19" s="32" t="s">
        <v>12</v>
      </c>
      <c r="T19" s="32">
        <v>9</v>
      </c>
      <c r="U19" s="30"/>
      <c r="V19" s="30"/>
      <c r="W19" s="32" t="s">
        <v>20</v>
      </c>
      <c r="X19" s="32">
        <v>17</v>
      </c>
      <c r="Y19" s="31"/>
      <c r="Z19" s="1"/>
      <c r="AA19" s="1"/>
    </row>
    <row r="20" spans="1:27" ht="15.75" thickBot="1" x14ac:dyDescent="0.3">
      <c r="A20" s="28"/>
      <c r="B20" s="28"/>
      <c r="C20" s="6"/>
      <c r="D20" s="1"/>
      <c r="E20" s="1"/>
      <c r="F20" s="1"/>
      <c r="G20" s="1"/>
      <c r="H20" s="1"/>
      <c r="I20" s="1"/>
      <c r="J20" s="1"/>
      <c r="K20" s="30" t="str">
        <f t="shared" si="0"/>
        <v/>
      </c>
      <c r="L20" s="7"/>
      <c r="M20" s="1"/>
      <c r="N20" s="1"/>
      <c r="O20" s="1"/>
      <c r="P20" s="1"/>
      <c r="Q20" s="1"/>
      <c r="R20" s="30"/>
      <c r="S20" s="30"/>
      <c r="T20" s="30"/>
      <c r="U20" s="30"/>
      <c r="V20" s="30"/>
      <c r="W20" s="30"/>
      <c r="X20" s="30"/>
      <c r="Y20" s="31"/>
      <c r="Z20" s="1"/>
      <c r="AA20" s="1"/>
    </row>
    <row r="21" spans="1:27" ht="20.25" thickTop="1" thickBot="1" x14ac:dyDescent="0.35">
      <c r="A21" s="28"/>
      <c r="B21" s="28"/>
      <c r="C21" s="6"/>
      <c r="D21" s="2" t="s">
        <v>45</v>
      </c>
      <c r="E21" s="26">
        <v>12</v>
      </c>
      <c r="F21" s="1"/>
      <c r="G21" s="1"/>
      <c r="H21" s="2" t="s">
        <v>49</v>
      </c>
      <c r="I21" s="21" t="s">
        <v>56</v>
      </c>
      <c r="J21" s="1"/>
      <c r="K21" s="30" t="str">
        <f t="shared" si="0"/>
        <v/>
      </c>
      <c r="L21" s="7"/>
      <c r="M21" s="1"/>
      <c r="N21" s="1"/>
      <c r="O21" s="1"/>
      <c r="P21" s="1"/>
      <c r="Q21" s="1"/>
      <c r="R21" s="30"/>
      <c r="S21" s="32" t="s">
        <v>13</v>
      </c>
      <c r="T21" s="32">
        <v>10</v>
      </c>
      <c r="U21" s="30"/>
      <c r="V21" s="30"/>
      <c r="W21" s="30"/>
      <c r="X21" s="30"/>
      <c r="Y21" s="31"/>
      <c r="Z21" s="1"/>
      <c r="AA21" s="1"/>
    </row>
    <row r="22" spans="1:27" ht="15.75" thickBot="1" x14ac:dyDescent="0.3">
      <c r="A22" s="28"/>
      <c r="B22" s="28"/>
      <c r="C22" s="6"/>
      <c r="D22" s="1"/>
      <c r="E22" s="1"/>
      <c r="F22" s="1"/>
      <c r="G22" s="1"/>
      <c r="H22" s="1"/>
      <c r="I22" s="1"/>
      <c r="J22" s="1"/>
      <c r="K22" s="30" t="str">
        <f t="shared" si="0"/>
        <v/>
      </c>
      <c r="L22" s="7"/>
      <c r="M22" s="1"/>
      <c r="N22" s="1"/>
      <c r="O22" s="1"/>
      <c r="P22" s="1"/>
      <c r="Q22" s="1"/>
      <c r="R22" s="30"/>
      <c r="S22" s="30"/>
      <c r="T22" s="30"/>
      <c r="U22" s="30"/>
      <c r="V22" s="30"/>
      <c r="W22" s="30"/>
      <c r="X22" s="30"/>
      <c r="Y22" s="31"/>
      <c r="Z22" s="1"/>
      <c r="AA22" s="1"/>
    </row>
    <row r="23" spans="1:27" ht="20.25" thickTop="1" thickBot="1" x14ac:dyDescent="0.35">
      <c r="A23" s="28"/>
      <c r="B23" s="28"/>
      <c r="C23" s="6"/>
      <c r="D23" s="2" t="s">
        <v>46</v>
      </c>
      <c r="E23" s="20" t="s">
        <v>60</v>
      </c>
      <c r="F23" s="1"/>
      <c r="G23" s="1"/>
      <c r="H23" s="2" t="s">
        <v>43</v>
      </c>
      <c r="I23" s="21" t="s">
        <v>57</v>
      </c>
      <c r="J23" s="1"/>
      <c r="K23" s="1"/>
      <c r="L23" s="7"/>
      <c r="M23" s="1"/>
      <c r="N23" s="1"/>
      <c r="O23" s="1"/>
      <c r="P23" s="1"/>
      <c r="Q23" s="1"/>
      <c r="R23" s="30"/>
      <c r="S23" s="32" t="s">
        <v>14</v>
      </c>
      <c r="T23" s="32">
        <v>11</v>
      </c>
      <c r="U23" s="30"/>
      <c r="V23" s="30"/>
      <c r="W23" s="30"/>
      <c r="X23" s="30"/>
      <c r="Y23" s="31"/>
      <c r="Z23" s="1"/>
      <c r="AA23" s="1"/>
    </row>
    <row r="24" spans="1:27" ht="15.75" thickBot="1" x14ac:dyDescent="0.3">
      <c r="A24" s="28"/>
      <c r="B24" s="28"/>
      <c r="C24" s="6"/>
      <c r="D24" s="1"/>
      <c r="E24" s="1"/>
      <c r="F24" s="1"/>
      <c r="G24" s="1"/>
      <c r="H24" s="1"/>
      <c r="I24" s="1"/>
      <c r="J24" s="1"/>
      <c r="K24" s="1"/>
      <c r="L24" s="7"/>
      <c r="M24" s="1"/>
      <c r="N24" s="1"/>
      <c r="O24" s="1"/>
      <c r="P24" s="1"/>
      <c r="Q24" s="1"/>
      <c r="R24" s="30"/>
      <c r="S24" s="30"/>
      <c r="T24" s="30"/>
      <c r="U24" s="30"/>
      <c r="V24" s="30"/>
      <c r="W24" s="30"/>
      <c r="X24" s="31"/>
      <c r="Y24" s="31"/>
      <c r="Z24" s="1"/>
      <c r="AA24" s="1"/>
    </row>
    <row r="25" spans="1:27" ht="20.25" thickTop="1" thickBot="1" x14ac:dyDescent="0.35">
      <c r="A25" s="28"/>
      <c r="B25" s="28"/>
      <c r="C25" s="6"/>
      <c r="D25" s="2" t="s">
        <v>44</v>
      </c>
      <c r="E25" s="21">
        <v>9239420258</v>
      </c>
      <c r="F25" s="1"/>
      <c r="G25" s="1"/>
      <c r="H25" s="1"/>
      <c r="I25" s="1"/>
      <c r="J25" s="1"/>
      <c r="K25" s="1"/>
      <c r="L25" s="7"/>
      <c r="M25" s="1"/>
      <c r="N25" s="1"/>
      <c r="O25" s="1"/>
      <c r="P25" s="1"/>
      <c r="Q25" s="1"/>
      <c r="R25" s="30"/>
      <c r="S25" s="30"/>
      <c r="T25" s="30"/>
      <c r="U25" s="30"/>
      <c r="V25" s="30"/>
      <c r="W25" s="30"/>
      <c r="X25" s="31"/>
      <c r="Y25" s="31"/>
      <c r="Z25" s="1"/>
      <c r="AA25" s="1"/>
    </row>
    <row r="26" spans="1:27" x14ac:dyDescent="0.25">
      <c r="A26" s="28"/>
      <c r="B26" s="28"/>
      <c r="C26" s="6"/>
      <c r="D26" s="1"/>
      <c r="E26" s="1"/>
      <c r="F26" s="1"/>
      <c r="G26" s="1"/>
      <c r="H26" s="1"/>
      <c r="I26" s="1"/>
      <c r="J26" s="1"/>
      <c r="K26" s="1"/>
      <c r="L26" s="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24"/>
      <c r="Y26" s="24"/>
      <c r="Z26" s="1"/>
      <c r="AA26" s="1"/>
    </row>
    <row r="27" spans="1:27" x14ac:dyDescent="0.25">
      <c r="A27" s="28"/>
      <c r="B27" s="28"/>
      <c r="C27" s="6"/>
      <c r="D27" s="1"/>
      <c r="E27" s="1"/>
      <c r="F27" s="1"/>
      <c r="G27" s="1"/>
      <c r="H27" s="1"/>
      <c r="I27" s="1"/>
      <c r="J27" s="1"/>
      <c r="K27" s="1"/>
      <c r="L27" s="7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28"/>
      <c r="B28" s="28"/>
      <c r="C28" s="6"/>
      <c r="D28" s="1"/>
      <c r="E28" s="1"/>
      <c r="F28" s="1"/>
      <c r="G28" s="1"/>
      <c r="H28" s="1"/>
      <c r="I28" s="1"/>
      <c r="J28" s="1"/>
      <c r="K28" s="1"/>
      <c r="L28" s="7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28"/>
      <c r="B29" s="28"/>
      <c r="C29" s="6"/>
      <c r="D29" s="1"/>
      <c r="E29" s="1"/>
      <c r="F29" s="1"/>
      <c r="G29" s="1"/>
      <c r="H29" s="1"/>
      <c r="I29" s="1"/>
      <c r="J29" s="1"/>
      <c r="K29" s="1"/>
      <c r="L29" s="7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28"/>
      <c r="B30" s="28"/>
      <c r="C30" s="6"/>
      <c r="D30" s="1"/>
      <c r="E30" s="1"/>
      <c r="F30" s="1"/>
      <c r="G30" s="1"/>
      <c r="H30" s="1"/>
      <c r="I30" s="1"/>
      <c r="J30" s="1"/>
      <c r="K30" s="1"/>
      <c r="L30" s="7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/>
      <c r="B31" s="1"/>
      <c r="C31" s="6"/>
      <c r="D31" s="1"/>
      <c r="E31" s="1"/>
      <c r="F31" s="1"/>
      <c r="G31" s="1"/>
      <c r="H31" s="1"/>
      <c r="I31" s="1"/>
      <c r="J31" s="1"/>
      <c r="K31" s="1"/>
      <c r="L31" s="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5.75" thickBot="1" x14ac:dyDescent="0.3">
      <c r="A32" s="1"/>
      <c r="B32" s="1"/>
      <c r="C32" s="9"/>
      <c r="D32" s="10"/>
      <c r="E32" s="10"/>
      <c r="F32" s="10"/>
      <c r="G32" s="10"/>
      <c r="H32" s="10"/>
      <c r="I32" s="10"/>
      <c r="J32" s="10"/>
      <c r="K32" s="10"/>
      <c r="L32" s="1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.75" thickTop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/>
      <c r="B34" s="1"/>
      <c r="C34" s="1">
        <f>COLUMN()</f>
        <v>3</v>
      </c>
      <c r="D34">
        <f>COLUMN()</f>
        <v>4</v>
      </c>
      <c r="E34">
        <f>COLUMN()</f>
        <v>5</v>
      </c>
      <c r="F34">
        <f>COLUMN()</f>
        <v>6</v>
      </c>
      <c r="G34">
        <f>COLUMN()</f>
        <v>7</v>
      </c>
      <c r="H34">
        <f>COLUMN()</f>
        <v>8</v>
      </c>
      <c r="I34">
        <f>COLUMN()</f>
        <v>9</v>
      </c>
      <c r="J34">
        <f>COLUMN()</f>
        <v>10</v>
      </c>
      <c r="K34">
        <f>COLUMN()</f>
        <v>11</v>
      </c>
      <c r="L34">
        <f>COLUMN()</f>
        <v>12</v>
      </c>
      <c r="M34">
        <f>COLUMN()</f>
        <v>13</v>
      </c>
      <c r="N34">
        <f>COLUMN()</f>
        <v>14</v>
      </c>
      <c r="O34">
        <f>COLUMN()</f>
        <v>15</v>
      </c>
      <c r="P34">
        <f>COLUMN()</f>
        <v>16</v>
      </c>
      <c r="Q34">
        <f>COLUMN()</f>
        <v>17</v>
      </c>
      <c r="R34" s="25">
        <f>COLUMN()</f>
        <v>18</v>
      </c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/>
      <c r="B35" s="1"/>
      <c r="C35" s="1"/>
      <c r="D35" s="22" t="s">
        <v>24</v>
      </c>
      <c r="E35" s="12" t="s">
        <v>32</v>
      </c>
      <c r="F35" s="12" t="s">
        <v>25</v>
      </c>
      <c r="G35" s="12" t="s">
        <v>33</v>
      </c>
      <c r="H35" s="12" t="s">
        <v>26</v>
      </c>
      <c r="I35" s="12" t="s">
        <v>34</v>
      </c>
      <c r="J35" s="12" t="s">
        <v>27</v>
      </c>
      <c r="K35" s="12" t="s">
        <v>35</v>
      </c>
      <c r="L35" s="12" t="s">
        <v>28</v>
      </c>
      <c r="M35" s="12" t="s">
        <v>36</v>
      </c>
      <c r="N35" s="12" t="s">
        <v>29</v>
      </c>
      <c r="O35" s="12" t="s">
        <v>37</v>
      </c>
      <c r="P35" s="12" t="s">
        <v>30</v>
      </c>
      <c r="Q35" s="12" t="s">
        <v>40</v>
      </c>
      <c r="R35" s="23" t="s">
        <v>31</v>
      </c>
      <c r="S35" s="1"/>
      <c r="T35" s="1"/>
      <c r="U35" s="1"/>
      <c r="V35" s="1"/>
      <c r="W35" s="1"/>
      <c r="X35" s="1"/>
      <c r="Y35" s="1"/>
      <c r="Z35" s="1"/>
      <c r="AA35" s="1"/>
    </row>
    <row r="36" spans="1:27" ht="38.25" customHeight="1" x14ac:dyDescent="0.3">
      <c r="A36" s="1"/>
      <c r="B36" s="1"/>
      <c r="C36" s="1"/>
      <c r="D36" s="13" t="s">
        <v>0</v>
      </c>
      <c r="E36" s="14" t="s">
        <v>1</v>
      </c>
      <c r="F36" s="14" t="s">
        <v>21</v>
      </c>
      <c r="G36" s="14" t="s">
        <v>2</v>
      </c>
      <c r="H36" s="14" t="s">
        <v>48</v>
      </c>
      <c r="I36" s="14" t="s">
        <v>5</v>
      </c>
      <c r="J36" s="14" t="s">
        <v>3</v>
      </c>
      <c r="K36" s="14" t="s">
        <v>6</v>
      </c>
      <c r="L36" s="14" t="s">
        <v>39</v>
      </c>
      <c r="M36" s="14" t="s">
        <v>47</v>
      </c>
      <c r="N36" s="14" t="s">
        <v>4</v>
      </c>
      <c r="O36" s="14" t="s">
        <v>88</v>
      </c>
      <c r="P36" s="14" t="s">
        <v>46</v>
      </c>
      <c r="Q36" s="14" t="s">
        <v>43</v>
      </c>
      <c r="R36" s="14" t="s">
        <v>44</v>
      </c>
      <c r="S36" s="1"/>
      <c r="T36" s="1"/>
      <c r="U36" s="1"/>
      <c r="V36" s="1"/>
      <c r="W36" s="1"/>
      <c r="X36" s="1"/>
      <c r="Y36" s="1"/>
      <c r="Z36" s="1"/>
      <c r="AA36" s="1"/>
    </row>
    <row r="37" spans="1:27" ht="23.25" customHeight="1" x14ac:dyDescent="0.25">
      <c r="A37" s="1"/>
      <c r="B37" s="30" t="str">
        <f>IFERROR(RANK(C37,$C$37:$C$999,1),"")</f>
        <v/>
      </c>
      <c r="C37" s="30" t="str">
        <f>IFERROR(SEARCH($K$7,D37)+ROW()/100000,"")</f>
        <v/>
      </c>
      <c r="D37" s="39" t="s">
        <v>50</v>
      </c>
      <c r="E37" s="36" t="s">
        <v>59</v>
      </c>
      <c r="F37" s="36" t="s">
        <v>51</v>
      </c>
      <c r="G37" s="36" t="s">
        <v>58</v>
      </c>
      <c r="H37" s="36">
        <v>20</v>
      </c>
      <c r="I37" s="35">
        <v>36392</v>
      </c>
      <c r="J37" s="36" t="s">
        <v>52</v>
      </c>
      <c r="K37" s="36">
        <v>9097262651</v>
      </c>
      <c r="L37" s="36" t="s">
        <v>38</v>
      </c>
      <c r="M37" s="36" t="s">
        <v>55</v>
      </c>
      <c r="N37" s="36">
        <v>12</v>
      </c>
      <c r="O37" s="36" t="s">
        <v>56</v>
      </c>
      <c r="P37" s="36" t="s">
        <v>60</v>
      </c>
      <c r="Q37" s="36" t="s">
        <v>57</v>
      </c>
      <c r="R37" s="37">
        <v>9239420258</v>
      </c>
      <c r="S37" s="1"/>
      <c r="T37" s="1"/>
      <c r="U37" s="1"/>
      <c r="V37" s="1"/>
      <c r="W37" s="1"/>
      <c r="X37" s="1"/>
      <c r="Y37" s="1"/>
      <c r="Z37" s="1"/>
      <c r="AA37" s="1"/>
    </row>
    <row r="38" spans="1:27" ht="25.5" customHeight="1" x14ac:dyDescent="0.25">
      <c r="A38" s="1"/>
      <c r="B38" s="30" t="str">
        <f t="shared" ref="B38:B101" si="1">IFERROR(RANK(C38,$C$37:$C$999,1),"")</f>
        <v/>
      </c>
      <c r="C38" s="30" t="str">
        <f t="shared" ref="C38:C101" si="2">IFERROR(SEARCH($K$7,D38)+ROW()/100000,"")</f>
        <v/>
      </c>
      <c r="D38" s="39" t="s">
        <v>62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7"/>
      <c r="S38" s="1"/>
      <c r="T38" s="1"/>
      <c r="U38" s="1"/>
      <c r="V38" s="1"/>
      <c r="W38" s="1"/>
      <c r="X38" s="1"/>
      <c r="Y38" s="1"/>
      <c r="Z38" s="1"/>
      <c r="AA38" s="1"/>
    </row>
    <row r="39" spans="1:27" ht="30" customHeight="1" x14ac:dyDescent="0.25">
      <c r="A39" s="1"/>
      <c r="B39" s="30" t="str">
        <f t="shared" si="1"/>
        <v/>
      </c>
      <c r="C39" s="30" t="str">
        <f t="shared" si="2"/>
        <v/>
      </c>
      <c r="D39" s="39" t="s">
        <v>63</v>
      </c>
      <c r="E39" s="36" t="s">
        <v>65</v>
      </c>
      <c r="F39" s="36" t="s">
        <v>64</v>
      </c>
      <c r="G39" s="36" t="s">
        <v>66</v>
      </c>
      <c r="H39" s="36">
        <v>21</v>
      </c>
      <c r="I39" s="35">
        <v>33147</v>
      </c>
      <c r="J39" s="36" t="s">
        <v>52</v>
      </c>
      <c r="K39" s="36">
        <v>9123123123123</v>
      </c>
      <c r="L39" s="36" t="s">
        <v>38</v>
      </c>
      <c r="M39" s="36" t="s">
        <v>67</v>
      </c>
      <c r="N39" s="36">
        <v>12</v>
      </c>
      <c r="O39" s="36" t="s">
        <v>68</v>
      </c>
      <c r="P39" s="36" t="s">
        <v>60</v>
      </c>
      <c r="Q39" s="36" t="s">
        <v>69</v>
      </c>
      <c r="R39" s="37">
        <v>123123123</v>
      </c>
      <c r="S39" s="1"/>
      <c r="T39" s="1"/>
      <c r="U39" s="1"/>
      <c r="V39" s="1"/>
      <c r="W39" s="1"/>
      <c r="X39" s="1"/>
      <c r="Y39" s="1"/>
      <c r="Z39" s="1"/>
      <c r="AA39" s="1"/>
    </row>
    <row r="40" spans="1:27" ht="34.5" customHeight="1" x14ac:dyDescent="0.25">
      <c r="A40" s="1"/>
      <c r="B40" s="30" t="str">
        <f t="shared" si="1"/>
        <v/>
      </c>
      <c r="C40" s="30" t="str">
        <f t="shared" si="2"/>
        <v/>
      </c>
      <c r="D40" s="39" t="s">
        <v>70</v>
      </c>
      <c r="E40" s="36" t="s">
        <v>72</v>
      </c>
      <c r="F40" s="36" t="s">
        <v>71</v>
      </c>
      <c r="G40" s="36" t="s">
        <v>73</v>
      </c>
      <c r="H40" s="36">
        <v>17</v>
      </c>
      <c r="I40" s="36" t="s">
        <v>74</v>
      </c>
      <c r="J40" s="36" t="s">
        <v>52</v>
      </c>
      <c r="K40" s="36">
        <v>9123123123</v>
      </c>
      <c r="L40" s="36" t="s">
        <v>38</v>
      </c>
      <c r="M40" s="36" t="s">
        <v>67</v>
      </c>
      <c r="N40" s="36">
        <v>12</v>
      </c>
      <c r="O40" s="36" t="s">
        <v>68</v>
      </c>
      <c r="P40" s="36" t="s">
        <v>60</v>
      </c>
      <c r="Q40" s="36" t="s">
        <v>75</v>
      </c>
      <c r="R40" s="37">
        <v>123123123</v>
      </c>
      <c r="S40" s="1"/>
      <c r="T40" s="1"/>
      <c r="U40" s="1"/>
      <c r="V40" s="1"/>
      <c r="W40" s="1"/>
      <c r="X40" s="1"/>
      <c r="Y40" s="1"/>
      <c r="Z40" s="1"/>
      <c r="AA40" s="1"/>
    </row>
    <row r="41" spans="1:27" ht="30" customHeight="1" x14ac:dyDescent="0.25">
      <c r="A41" s="1"/>
      <c r="B41" s="30" t="str">
        <f t="shared" si="1"/>
        <v/>
      </c>
      <c r="C41" s="30" t="str">
        <f t="shared" si="2"/>
        <v/>
      </c>
      <c r="D41" s="39" t="s">
        <v>77</v>
      </c>
      <c r="E41" s="36" t="s">
        <v>82</v>
      </c>
      <c r="F41" s="36" t="s">
        <v>78</v>
      </c>
      <c r="G41" s="36" t="s">
        <v>83</v>
      </c>
      <c r="H41" s="36">
        <v>18</v>
      </c>
      <c r="I41" s="36" t="s">
        <v>84</v>
      </c>
      <c r="J41" s="36" t="s">
        <v>79</v>
      </c>
      <c r="K41" s="36">
        <v>12345678910</v>
      </c>
      <c r="L41" s="36" t="s">
        <v>80</v>
      </c>
      <c r="M41" s="36" t="s">
        <v>85</v>
      </c>
      <c r="N41" s="36">
        <v>12</v>
      </c>
      <c r="O41" s="36" t="s">
        <v>86</v>
      </c>
      <c r="P41" s="36" t="s">
        <v>81</v>
      </c>
      <c r="Q41" s="36" t="s">
        <v>87</v>
      </c>
      <c r="R41" s="37">
        <v>199</v>
      </c>
      <c r="S41" s="1"/>
      <c r="T41" s="1"/>
      <c r="U41" s="1"/>
      <c r="V41" s="1"/>
      <c r="W41" s="1"/>
      <c r="X41" s="1"/>
      <c r="Y41" s="1"/>
      <c r="Z41" s="1"/>
      <c r="AA41" s="1"/>
    </row>
    <row r="42" spans="1:27" ht="35.25" customHeight="1" x14ac:dyDescent="0.25">
      <c r="A42" s="1"/>
      <c r="B42" s="30">
        <f t="shared" si="1"/>
        <v>1</v>
      </c>
      <c r="C42" s="30">
        <f t="shared" si="2"/>
        <v>1.0004200000000001</v>
      </c>
      <c r="D42" s="39" t="s">
        <v>89</v>
      </c>
      <c r="E42" s="36" t="s">
        <v>91</v>
      </c>
      <c r="F42" s="36" t="s">
        <v>90</v>
      </c>
      <c r="G42" s="36" t="s">
        <v>92</v>
      </c>
      <c r="H42" s="36">
        <v>17</v>
      </c>
      <c r="I42" s="36" t="s">
        <v>93</v>
      </c>
      <c r="J42" s="36" t="s">
        <v>52</v>
      </c>
      <c r="K42" s="36" t="s">
        <v>94</v>
      </c>
      <c r="L42" s="36" t="s">
        <v>38</v>
      </c>
      <c r="M42" s="36" t="s">
        <v>95</v>
      </c>
      <c r="N42" s="36">
        <v>11</v>
      </c>
      <c r="O42" s="36" t="s">
        <v>96</v>
      </c>
      <c r="P42" s="36" t="s">
        <v>60</v>
      </c>
      <c r="Q42" s="36" t="s">
        <v>97</v>
      </c>
      <c r="R42" s="37">
        <v>9123123123</v>
      </c>
      <c r="S42" s="1"/>
      <c r="T42" s="1"/>
      <c r="U42" s="1"/>
      <c r="V42" s="1"/>
      <c r="W42" s="1"/>
      <c r="X42" s="1"/>
      <c r="Y42" s="1"/>
      <c r="Z42" s="1"/>
      <c r="AA42" s="1"/>
    </row>
    <row r="43" spans="1:27" ht="37.5" customHeight="1" x14ac:dyDescent="0.25">
      <c r="A43" s="1"/>
      <c r="B43" s="30" t="str">
        <f t="shared" si="1"/>
        <v/>
      </c>
      <c r="C43" s="30" t="str">
        <f t="shared" si="2"/>
        <v/>
      </c>
      <c r="D43" s="39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7"/>
      <c r="S43" s="1"/>
      <c r="T43" s="1"/>
      <c r="U43" s="1"/>
      <c r="V43" s="1"/>
      <c r="W43" s="1"/>
      <c r="X43" s="1"/>
      <c r="Y43" s="1"/>
      <c r="Z43" s="1"/>
      <c r="AA43" s="1"/>
    </row>
    <row r="44" spans="1:27" ht="35.25" customHeight="1" x14ac:dyDescent="0.25">
      <c r="A44" s="1"/>
      <c r="B44" s="30" t="str">
        <f t="shared" si="1"/>
        <v/>
      </c>
      <c r="C44" s="30" t="str">
        <f t="shared" si="2"/>
        <v/>
      </c>
      <c r="D44" s="39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7"/>
      <c r="S44" s="1"/>
      <c r="T44" s="1"/>
      <c r="U44" s="1"/>
      <c r="V44" s="1"/>
      <c r="W44" s="1"/>
      <c r="X44" s="1"/>
      <c r="Y44" s="1"/>
      <c r="Z44" s="1"/>
      <c r="AA44" s="1"/>
    </row>
    <row r="45" spans="1:27" ht="32.25" customHeight="1" x14ac:dyDescent="0.25">
      <c r="A45" s="1"/>
      <c r="B45" s="30" t="str">
        <f t="shared" si="1"/>
        <v/>
      </c>
      <c r="C45" s="30" t="str">
        <f t="shared" si="2"/>
        <v/>
      </c>
      <c r="D45" s="39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7"/>
      <c r="S45" s="1"/>
      <c r="T45" s="1"/>
      <c r="U45" s="1"/>
      <c r="V45" s="1"/>
      <c r="W45" s="1"/>
      <c r="X45" s="1"/>
      <c r="Y45" s="1"/>
      <c r="Z45" s="1"/>
      <c r="AA45" s="1"/>
    </row>
    <row r="46" spans="1:27" ht="40.5" customHeight="1" x14ac:dyDescent="0.25">
      <c r="A46" s="1"/>
      <c r="B46" s="30" t="str">
        <f t="shared" si="1"/>
        <v/>
      </c>
      <c r="C46" s="30" t="str">
        <f t="shared" si="2"/>
        <v/>
      </c>
      <c r="D46" s="39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7"/>
      <c r="S46" s="1"/>
      <c r="T46" s="1"/>
      <c r="U46" s="1"/>
      <c r="V46" s="1"/>
      <c r="W46" s="1"/>
      <c r="X46" s="1"/>
      <c r="Y46" s="1"/>
      <c r="Z46" s="1"/>
      <c r="AA46" s="1"/>
    </row>
    <row r="47" spans="1:27" ht="35.25" customHeight="1" x14ac:dyDescent="0.25">
      <c r="A47" s="1"/>
      <c r="B47" s="30" t="str">
        <f t="shared" si="1"/>
        <v/>
      </c>
      <c r="C47" s="30" t="str">
        <f t="shared" si="2"/>
        <v/>
      </c>
      <c r="D47" s="39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7"/>
      <c r="S47" s="1"/>
      <c r="T47" s="1"/>
      <c r="U47" s="1"/>
      <c r="V47" s="1"/>
      <c r="W47" s="1"/>
      <c r="X47" s="1"/>
      <c r="Y47" s="1"/>
      <c r="Z47" s="1"/>
      <c r="AA47" s="1"/>
    </row>
    <row r="48" spans="1:27" ht="45" customHeight="1" x14ac:dyDescent="0.25">
      <c r="A48" s="1"/>
      <c r="B48" s="30" t="str">
        <f t="shared" si="1"/>
        <v/>
      </c>
      <c r="C48" s="30" t="str">
        <f t="shared" si="2"/>
        <v/>
      </c>
      <c r="D48" s="39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7"/>
      <c r="S48" s="1"/>
      <c r="T48" s="1"/>
      <c r="U48" s="1"/>
      <c r="V48" s="1"/>
      <c r="W48" s="1"/>
      <c r="X48" s="1"/>
      <c r="Y48" s="1"/>
      <c r="Z48" s="1"/>
      <c r="AA48" s="1"/>
    </row>
    <row r="49" spans="1:27" ht="38.25" customHeight="1" x14ac:dyDescent="0.25">
      <c r="A49" s="1"/>
      <c r="B49" s="30" t="str">
        <f t="shared" si="1"/>
        <v/>
      </c>
      <c r="C49" s="30" t="str">
        <f t="shared" si="2"/>
        <v/>
      </c>
      <c r="D49" s="39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7"/>
      <c r="S49" s="1"/>
      <c r="T49" s="1"/>
      <c r="U49" s="1"/>
      <c r="V49" s="1"/>
      <c r="W49" s="1"/>
      <c r="X49" s="1"/>
      <c r="Y49" s="1"/>
      <c r="Z49" s="1"/>
      <c r="AA49" s="1"/>
    </row>
    <row r="50" spans="1:27" ht="38.25" customHeight="1" x14ac:dyDescent="0.25">
      <c r="A50" s="1"/>
      <c r="B50" s="30" t="str">
        <f t="shared" si="1"/>
        <v/>
      </c>
      <c r="C50" s="30" t="str">
        <f t="shared" si="2"/>
        <v/>
      </c>
      <c r="D50" s="39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7"/>
      <c r="S50" s="1"/>
      <c r="T50" s="1"/>
      <c r="U50" s="1"/>
      <c r="V50" s="1"/>
      <c r="W50" s="1"/>
      <c r="X50" s="1"/>
      <c r="Y50" s="1"/>
      <c r="Z50" s="1"/>
      <c r="AA50" s="1"/>
    </row>
    <row r="51" spans="1:27" ht="38.25" customHeight="1" x14ac:dyDescent="0.25">
      <c r="A51" s="1"/>
      <c r="B51" s="30" t="str">
        <f t="shared" si="1"/>
        <v/>
      </c>
      <c r="C51" s="30" t="str">
        <f t="shared" si="2"/>
        <v/>
      </c>
      <c r="D51" s="39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7"/>
      <c r="S51" s="1"/>
      <c r="T51" s="1"/>
      <c r="U51" s="1"/>
      <c r="V51" s="1"/>
      <c r="W51" s="1"/>
      <c r="X51" s="1"/>
      <c r="Y51" s="1"/>
      <c r="Z51" s="1"/>
      <c r="AA51" s="1"/>
    </row>
    <row r="52" spans="1:27" ht="35.25" customHeight="1" x14ac:dyDescent="0.25">
      <c r="A52" s="1"/>
      <c r="B52" s="30" t="str">
        <f t="shared" si="1"/>
        <v/>
      </c>
      <c r="C52" s="30" t="str">
        <f t="shared" si="2"/>
        <v/>
      </c>
      <c r="D52" s="39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7"/>
      <c r="S52" s="1"/>
      <c r="T52" s="1"/>
      <c r="U52" s="1"/>
      <c r="V52" s="1"/>
      <c r="W52" s="1"/>
      <c r="X52" s="1"/>
      <c r="Y52" s="1"/>
      <c r="Z52" s="1"/>
      <c r="AA52" s="1"/>
    </row>
    <row r="53" spans="1:27" ht="33" customHeight="1" x14ac:dyDescent="0.25">
      <c r="A53" s="1"/>
      <c r="B53" s="30" t="str">
        <f t="shared" si="1"/>
        <v/>
      </c>
      <c r="C53" s="30" t="str">
        <f t="shared" si="2"/>
        <v/>
      </c>
      <c r="D53" s="39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7"/>
      <c r="S53" s="1"/>
      <c r="T53" s="1"/>
      <c r="U53" s="1"/>
      <c r="V53" s="1"/>
      <c r="W53" s="1"/>
      <c r="X53" s="1"/>
      <c r="Y53" s="1"/>
      <c r="Z53" s="1"/>
      <c r="AA53" s="1"/>
    </row>
    <row r="54" spans="1:27" ht="40.5" customHeight="1" x14ac:dyDescent="0.25">
      <c r="A54" s="1"/>
      <c r="B54" s="30" t="str">
        <f t="shared" si="1"/>
        <v/>
      </c>
      <c r="C54" s="30" t="str">
        <f t="shared" si="2"/>
        <v/>
      </c>
      <c r="D54" s="39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7"/>
      <c r="S54" s="1"/>
      <c r="T54" s="1"/>
      <c r="U54" s="1"/>
      <c r="V54" s="1"/>
      <c r="W54" s="1"/>
      <c r="X54" s="1"/>
      <c r="Y54" s="1"/>
      <c r="Z54" s="1"/>
      <c r="AA54" s="1"/>
    </row>
    <row r="55" spans="1:27" ht="38.25" customHeight="1" x14ac:dyDescent="0.25">
      <c r="A55" s="1"/>
      <c r="B55" s="30" t="str">
        <f t="shared" si="1"/>
        <v/>
      </c>
      <c r="C55" s="30" t="str">
        <f t="shared" si="2"/>
        <v/>
      </c>
      <c r="D55" s="39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7"/>
      <c r="S55" s="1"/>
      <c r="T55" s="1"/>
      <c r="U55" s="1"/>
      <c r="V55" s="1"/>
      <c r="W55" s="1"/>
      <c r="X55" s="1"/>
      <c r="Y55" s="1"/>
      <c r="Z55" s="1"/>
      <c r="AA55" s="1"/>
    </row>
    <row r="56" spans="1:27" ht="33" customHeight="1" x14ac:dyDescent="0.25">
      <c r="A56" s="1"/>
      <c r="B56" s="30" t="str">
        <f t="shared" si="1"/>
        <v/>
      </c>
      <c r="C56" s="30" t="str">
        <f t="shared" si="2"/>
        <v/>
      </c>
      <c r="D56" s="39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S56" s="1"/>
      <c r="T56" s="1"/>
      <c r="U56" s="1"/>
      <c r="V56" s="1"/>
      <c r="W56" s="1"/>
      <c r="X56" s="1"/>
      <c r="Y56" s="1"/>
      <c r="Z56" s="1"/>
      <c r="AA56" s="1"/>
    </row>
    <row r="57" spans="1:27" ht="29.25" customHeight="1" x14ac:dyDescent="0.25">
      <c r="A57" s="1"/>
      <c r="B57" s="30" t="str">
        <f t="shared" si="1"/>
        <v/>
      </c>
      <c r="C57" s="30" t="str">
        <f t="shared" si="2"/>
        <v/>
      </c>
      <c r="D57" s="39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7"/>
      <c r="S57" s="1"/>
      <c r="T57" s="1"/>
      <c r="U57" s="1"/>
      <c r="V57" s="1"/>
      <c r="W57" s="1"/>
      <c r="X57" s="1"/>
      <c r="Y57" s="1"/>
      <c r="Z57" s="1"/>
      <c r="AA57" s="1"/>
    </row>
    <row r="58" spans="1:27" ht="37.5" customHeight="1" x14ac:dyDescent="0.25">
      <c r="A58" s="1"/>
      <c r="B58" s="30" t="str">
        <f t="shared" si="1"/>
        <v/>
      </c>
      <c r="C58" s="30" t="str">
        <f t="shared" si="2"/>
        <v/>
      </c>
      <c r="D58" s="39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7"/>
      <c r="S58" s="1"/>
      <c r="T58" s="1"/>
      <c r="U58" s="1"/>
      <c r="V58" s="1"/>
      <c r="W58" s="1"/>
      <c r="X58" s="1"/>
      <c r="Y58" s="1"/>
      <c r="Z58" s="1"/>
      <c r="AA58" s="1"/>
    </row>
    <row r="59" spans="1:27" ht="34.5" customHeight="1" x14ac:dyDescent="0.25">
      <c r="A59" s="1"/>
      <c r="B59" s="30" t="str">
        <f t="shared" si="1"/>
        <v/>
      </c>
      <c r="C59" s="30" t="str">
        <f t="shared" si="2"/>
        <v/>
      </c>
      <c r="D59" s="39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7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/>
      <c r="B60" s="30" t="str">
        <f t="shared" si="1"/>
        <v/>
      </c>
      <c r="C60" s="30" t="str">
        <f t="shared" si="2"/>
        <v/>
      </c>
      <c r="D60" s="39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7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/>
      <c r="B61" s="30" t="str">
        <f t="shared" si="1"/>
        <v/>
      </c>
      <c r="C61" s="30" t="str">
        <f t="shared" si="2"/>
        <v/>
      </c>
      <c r="D61" s="39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7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/>
      <c r="B62" s="30" t="str">
        <f t="shared" si="1"/>
        <v/>
      </c>
      <c r="C62" s="30" t="str">
        <f t="shared" si="2"/>
        <v/>
      </c>
      <c r="D62" s="39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7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/>
      <c r="B63" s="30" t="str">
        <f t="shared" si="1"/>
        <v/>
      </c>
      <c r="C63" s="30" t="str">
        <f t="shared" si="2"/>
        <v/>
      </c>
      <c r="D63" s="39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7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/>
      <c r="B64" s="30" t="str">
        <f t="shared" si="1"/>
        <v/>
      </c>
      <c r="C64" s="30" t="str">
        <f t="shared" si="2"/>
        <v/>
      </c>
      <c r="D64" s="39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7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/>
      <c r="B65" s="30" t="str">
        <f t="shared" si="1"/>
        <v/>
      </c>
      <c r="C65" s="30" t="str">
        <f t="shared" si="2"/>
        <v/>
      </c>
      <c r="D65" s="39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7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/>
      <c r="B66" s="30" t="str">
        <f t="shared" si="1"/>
        <v/>
      </c>
      <c r="C66" s="30" t="str">
        <f t="shared" si="2"/>
        <v/>
      </c>
      <c r="D66" s="39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7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/>
      <c r="B67" s="30" t="str">
        <f t="shared" si="1"/>
        <v/>
      </c>
      <c r="C67" s="30" t="str">
        <f t="shared" si="2"/>
        <v/>
      </c>
      <c r="D67" s="39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7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/>
      <c r="B68" s="30" t="str">
        <f t="shared" si="1"/>
        <v/>
      </c>
      <c r="C68" s="30" t="str">
        <f t="shared" si="2"/>
        <v/>
      </c>
      <c r="D68" s="39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7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/>
      <c r="B69" s="30" t="str">
        <f t="shared" si="1"/>
        <v/>
      </c>
      <c r="C69" s="30" t="str">
        <f t="shared" si="2"/>
        <v/>
      </c>
      <c r="D69" s="39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7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/>
      <c r="B70" s="30" t="str">
        <f t="shared" si="1"/>
        <v/>
      </c>
      <c r="C70" s="30" t="str">
        <f t="shared" si="2"/>
        <v/>
      </c>
      <c r="D70" s="39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/>
      <c r="B71" s="30" t="str">
        <f t="shared" si="1"/>
        <v/>
      </c>
      <c r="C71" s="30" t="str">
        <f t="shared" si="2"/>
        <v/>
      </c>
      <c r="D71" s="39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7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/>
      <c r="B72" s="30" t="str">
        <f t="shared" si="1"/>
        <v/>
      </c>
      <c r="C72" s="30" t="str">
        <f t="shared" si="2"/>
        <v/>
      </c>
      <c r="D72" s="39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7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/>
      <c r="B73" s="30" t="str">
        <f t="shared" si="1"/>
        <v/>
      </c>
      <c r="C73" s="30" t="str">
        <f t="shared" si="2"/>
        <v/>
      </c>
      <c r="D73" s="39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7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/>
      <c r="B74" s="30" t="str">
        <f t="shared" si="1"/>
        <v/>
      </c>
      <c r="C74" s="30" t="str">
        <f t="shared" si="2"/>
        <v/>
      </c>
      <c r="D74" s="39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7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/>
      <c r="B75" s="30" t="str">
        <f t="shared" si="1"/>
        <v/>
      </c>
      <c r="C75" s="30" t="str">
        <f t="shared" si="2"/>
        <v/>
      </c>
      <c r="D75" s="39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30" t="str">
        <f t="shared" si="1"/>
        <v/>
      </c>
      <c r="C76" s="30" t="str">
        <f t="shared" si="2"/>
        <v/>
      </c>
      <c r="D76" s="39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7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30" t="str">
        <f t="shared" si="1"/>
        <v/>
      </c>
      <c r="C77" s="30" t="str">
        <f t="shared" si="2"/>
        <v/>
      </c>
      <c r="D77" s="39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7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30" t="str">
        <f t="shared" si="1"/>
        <v/>
      </c>
      <c r="C78" s="30" t="str">
        <f t="shared" si="2"/>
        <v/>
      </c>
      <c r="D78" s="39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7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30" t="str">
        <f t="shared" si="1"/>
        <v/>
      </c>
      <c r="C79" s="30" t="str">
        <f t="shared" si="2"/>
        <v/>
      </c>
      <c r="D79" s="39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7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30" t="str">
        <f t="shared" si="1"/>
        <v/>
      </c>
      <c r="C80" s="30" t="str">
        <f t="shared" si="2"/>
        <v/>
      </c>
      <c r="D80" s="39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7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30" t="str">
        <f t="shared" si="1"/>
        <v/>
      </c>
      <c r="C81" s="30" t="str">
        <f t="shared" si="2"/>
        <v/>
      </c>
      <c r="D81" s="39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7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30" t="str">
        <f t="shared" si="1"/>
        <v/>
      </c>
      <c r="C82" s="30" t="str">
        <f t="shared" si="2"/>
        <v/>
      </c>
      <c r="D82" s="39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7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30" t="str">
        <f t="shared" si="1"/>
        <v/>
      </c>
      <c r="C83" s="30" t="str">
        <f t="shared" si="2"/>
        <v/>
      </c>
      <c r="D83" s="39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7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30" t="str">
        <f t="shared" si="1"/>
        <v/>
      </c>
      <c r="C84" s="30" t="str">
        <f t="shared" si="2"/>
        <v/>
      </c>
      <c r="D84" s="39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7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30" t="str">
        <f t="shared" si="1"/>
        <v/>
      </c>
      <c r="C85" s="30" t="str">
        <f t="shared" si="2"/>
        <v/>
      </c>
      <c r="D85" s="39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7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30" t="str">
        <f t="shared" si="1"/>
        <v/>
      </c>
      <c r="C86" s="30" t="str">
        <f t="shared" si="2"/>
        <v/>
      </c>
      <c r="D86" s="39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7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30" t="str">
        <f t="shared" si="1"/>
        <v/>
      </c>
      <c r="C87" s="30" t="str">
        <f t="shared" si="2"/>
        <v/>
      </c>
      <c r="D87" s="39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7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30" t="str">
        <f t="shared" si="1"/>
        <v/>
      </c>
      <c r="C88" s="30" t="str">
        <f t="shared" si="2"/>
        <v/>
      </c>
      <c r="D88" s="39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7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30" t="str">
        <f t="shared" si="1"/>
        <v/>
      </c>
      <c r="C89" s="30" t="str">
        <f t="shared" si="2"/>
        <v/>
      </c>
      <c r="D89" s="39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7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30" t="str">
        <f t="shared" si="1"/>
        <v/>
      </c>
      <c r="C90" s="30" t="str">
        <f t="shared" si="2"/>
        <v/>
      </c>
      <c r="D90" s="39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7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30" t="str">
        <f t="shared" si="1"/>
        <v/>
      </c>
      <c r="C91" s="30" t="str">
        <f t="shared" si="2"/>
        <v/>
      </c>
      <c r="D91" s="39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7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30" t="str">
        <f t="shared" si="1"/>
        <v/>
      </c>
      <c r="C92" s="30" t="str">
        <f t="shared" si="2"/>
        <v/>
      </c>
      <c r="D92" s="39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7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30" t="str">
        <f t="shared" si="1"/>
        <v/>
      </c>
      <c r="C93" s="30" t="str">
        <f t="shared" si="2"/>
        <v/>
      </c>
      <c r="D93" s="39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7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30" t="str">
        <f t="shared" si="1"/>
        <v/>
      </c>
      <c r="C94" s="30" t="str">
        <f t="shared" si="2"/>
        <v/>
      </c>
      <c r="D94" s="39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7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30" t="str">
        <f t="shared" si="1"/>
        <v/>
      </c>
      <c r="C95" s="30" t="str">
        <f t="shared" si="2"/>
        <v/>
      </c>
      <c r="D95" s="39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7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/>
      <c r="B96" s="30" t="str">
        <f t="shared" si="1"/>
        <v/>
      </c>
      <c r="C96" s="30" t="str">
        <f t="shared" si="2"/>
        <v/>
      </c>
      <c r="D96" s="39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7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/>
      <c r="B97" s="30" t="str">
        <f t="shared" si="1"/>
        <v/>
      </c>
      <c r="C97" s="30" t="str">
        <f t="shared" si="2"/>
        <v/>
      </c>
      <c r="D97" s="39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7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/>
      <c r="B98" s="30" t="str">
        <f t="shared" si="1"/>
        <v/>
      </c>
      <c r="C98" s="30" t="str">
        <f t="shared" si="2"/>
        <v/>
      </c>
      <c r="D98" s="39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7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/>
      <c r="B99" s="30" t="str">
        <f t="shared" si="1"/>
        <v/>
      </c>
      <c r="C99" s="30" t="str">
        <f t="shared" si="2"/>
        <v/>
      </c>
      <c r="D99" s="39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7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/>
      <c r="B100" s="30" t="str">
        <f t="shared" si="1"/>
        <v/>
      </c>
      <c r="C100" s="30" t="str">
        <f t="shared" si="2"/>
        <v/>
      </c>
      <c r="D100" s="39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7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/>
      <c r="B101" s="30" t="str">
        <f t="shared" si="1"/>
        <v/>
      </c>
      <c r="C101" s="30" t="str">
        <f t="shared" si="2"/>
        <v/>
      </c>
      <c r="D101" s="39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7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/>
      <c r="B102" s="30" t="str">
        <f t="shared" ref="B102:B152" si="3">IFERROR(RANK(C102,$C$37:$C$999,1),"")</f>
        <v/>
      </c>
      <c r="C102" s="30" t="str">
        <f t="shared" ref="C102:C152" si="4">IFERROR(SEARCH($K$7,D102)+ROW()/100000,"")</f>
        <v/>
      </c>
      <c r="D102" s="39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7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/>
      <c r="B103" s="30" t="str">
        <f t="shared" si="3"/>
        <v/>
      </c>
      <c r="C103" s="30" t="str">
        <f t="shared" si="4"/>
        <v/>
      </c>
      <c r="D103" s="39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7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/>
      <c r="B104" s="30" t="str">
        <f t="shared" si="3"/>
        <v/>
      </c>
      <c r="C104" s="30" t="str">
        <f t="shared" si="4"/>
        <v/>
      </c>
      <c r="D104" s="39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7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/>
      <c r="B105" s="30" t="str">
        <f t="shared" si="3"/>
        <v/>
      </c>
      <c r="C105" s="30" t="str">
        <f t="shared" si="4"/>
        <v/>
      </c>
      <c r="D105" s="39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7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/>
      <c r="B106" s="30" t="str">
        <f t="shared" si="3"/>
        <v/>
      </c>
      <c r="C106" s="30" t="str">
        <f t="shared" si="4"/>
        <v/>
      </c>
      <c r="D106" s="39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7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/>
      <c r="B107" s="30" t="str">
        <f t="shared" si="3"/>
        <v/>
      </c>
      <c r="C107" s="30" t="str">
        <f t="shared" si="4"/>
        <v/>
      </c>
      <c r="D107" s="39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7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/>
      <c r="B108" s="30" t="str">
        <f t="shared" si="3"/>
        <v/>
      </c>
      <c r="C108" s="30" t="str">
        <f t="shared" si="4"/>
        <v/>
      </c>
      <c r="D108" s="39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7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/>
      <c r="B109" s="30" t="str">
        <f t="shared" si="3"/>
        <v/>
      </c>
      <c r="C109" s="30" t="str">
        <f t="shared" si="4"/>
        <v/>
      </c>
      <c r="D109" s="39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7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/>
      <c r="B110" s="30" t="str">
        <f t="shared" si="3"/>
        <v/>
      </c>
      <c r="C110" s="30" t="str">
        <f t="shared" si="4"/>
        <v/>
      </c>
      <c r="D110" s="39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7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/>
      <c r="B111" s="30" t="str">
        <f t="shared" si="3"/>
        <v/>
      </c>
      <c r="C111" s="30" t="str">
        <f t="shared" si="4"/>
        <v/>
      </c>
      <c r="D111" s="15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7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/>
      <c r="B112" s="30" t="str">
        <f t="shared" si="3"/>
        <v/>
      </c>
      <c r="C112" s="30" t="str">
        <f t="shared" si="4"/>
        <v/>
      </c>
      <c r="D112" s="15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7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/>
      <c r="B113" s="30" t="str">
        <f t="shared" si="3"/>
        <v/>
      </c>
      <c r="C113" s="30" t="str">
        <f t="shared" si="4"/>
        <v/>
      </c>
      <c r="D113" s="15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7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/>
      <c r="B114" s="30" t="str">
        <f t="shared" si="3"/>
        <v/>
      </c>
      <c r="C114" s="30" t="str">
        <f t="shared" si="4"/>
        <v/>
      </c>
      <c r="D114" s="15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7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/>
      <c r="B115" s="30" t="str">
        <f t="shared" si="3"/>
        <v/>
      </c>
      <c r="C115" s="30" t="str">
        <f t="shared" si="4"/>
        <v/>
      </c>
      <c r="D115" s="15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7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/>
      <c r="B116" s="30" t="str">
        <f t="shared" si="3"/>
        <v/>
      </c>
      <c r="C116" s="30" t="str">
        <f t="shared" si="4"/>
        <v/>
      </c>
      <c r="D116" s="15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7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/>
      <c r="B117" s="30" t="str">
        <f t="shared" si="3"/>
        <v/>
      </c>
      <c r="C117" s="30" t="str">
        <f t="shared" si="4"/>
        <v/>
      </c>
      <c r="D117" s="15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7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/>
      <c r="B118" s="30" t="str">
        <f t="shared" si="3"/>
        <v/>
      </c>
      <c r="C118" s="30" t="str">
        <f t="shared" si="4"/>
        <v/>
      </c>
      <c r="D118" s="15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7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/>
      <c r="B119" s="30" t="str">
        <f t="shared" si="3"/>
        <v/>
      </c>
      <c r="C119" s="30" t="str">
        <f t="shared" si="4"/>
        <v/>
      </c>
      <c r="D119" s="15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7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/>
      <c r="B120" s="30" t="str">
        <f t="shared" si="3"/>
        <v/>
      </c>
      <c r="C120" s="30" t="str">
        <f t="shared" si="4"/>
        <v/>
      </c>
      <c r="D120" s="15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7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/>
      <c r="B121" s="30" t="str">
        <f t="shared" si="3"/>
        <v/>
      </c>
      <c r="C121" s="30" t="str">
        <f t="shared" si="4"/>
        <v/>
      </c>
      <c r="D121" s="15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7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/>
      <c r="B122" s="30" t="str">
        <f t="shared" si="3"/>
        <v/>
      </c>
      <c r="C122" s="30" t="str">
        <f t="shared" si="4"/>
        <v/>
      </c>
      <c r="D122" s="15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7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/>
      <c r="B123" s="30" t="str">
        <f t="shared" si="3"/>
        <v/>
      </c>
      <c r="C123" s="30" t="str">
        <f t="shared" si="4"/>
        <v/>
      </c>
      <c r="D123" s="15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7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/>
      <c r="B124" s="30" t="str">
        <f t="shared" si="3"/>
        <v/>
      </c>
      <c r="C124" s="30" t="str">
        <f t="shared" si="4"/>
        <v/>
      </c>
      <c r="D124" s="15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7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/>
      <c r="B125" s="30" t="str">
        <f t="shared" si="3"/>
        <v/>
      </c>
      <c r="C125" s="30" t="str">
        <f t="shared" si="4"/>
        <v/>
      </c>
      <c r="D125" s="15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7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/>
      <c r="B126" s="30" t="str">
        <f t="shared" si="3"/>
        <v/>
      </c>
      <c r="C126" s="30" t="str">
        <f t="shared" si="4"/>
        <v/>
      </c>
      <c r="D126" s="15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7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/>
      <c r="B127" s="30" t="str">
        <f t="shared" si="3"/>
        <v/>
      </c>
      <c r="C127" s="30" t="str">
        <f t="shared" si="4"/>
        <v/>
      </c>
      <c r="D127" s="15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7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/>
      <c r="B128" s="30" t="str">
        <f t="shared" si="3"/>
        <v/>
      </c>
      <c r="C128" s="30" t="str">
        <f t="shared" si="4"/>
        <v/>
      </c>
      <c r="D128" s="15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7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/>
      <c r="B129" s="30" t="str">
        <f t="shared" si="3"/>
        <v/>
      </c>
      <c r="C129" s="30" t="str">
        <f t="shared" si="4"/>
        <v/>
      </c>
      <c r="D129" s="15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7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/>
      <c r="B130" s="30" t="str">
        <f t="shared" si="3"/>
        <v/>
      </c>
      <c r="C130" s="30" t="str">
        <f t="shared" si="4"/>
        <v/>
      </c>
      <c r="D130" s="15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7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/>
      <c r="B131" s="30" t="str">
        <f t="shared" si="3"/>
        <v/>
      </c>
      <c r="C131" s="30" t="str">
        <f t="shared" si="4"/>
        <v/>
      </c>
      <c r="D131" s="15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7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/>
      <c r="B132" s="30" t="str">
        <f t="shared" si="3"/>
        <v/>
      </c>
      <c r="C132" s="30" t="str">
        <f t="shared" si="4"/>
        <v/>
      </c>
      <c r="D132" s="15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7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/>
      <c r="B133" s="30" t="str">
        <f t="shared" si="3"/>
        <v/>
      </c>
      <c r="C133" s="30" t="str">
        <f t="shared" si="4"/>
        <v/>
      </c>
      <c r="D133" s="15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7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/>
      <c r="B134" s="30" t="str">
        <f t="shared" si="3"/>
        <v/>
      </c>
      <c r="C134" s="30" t="str">
        <f t="shared" si="4"/>
        <v/>
      </c>
      <c r="D134" s="15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7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/>
      <c r="B135" s="30" t="str">
        <f t="shared" si="3"/>
        <v/>
      </c>
      <c r="C135" s="30" t="str">
        <f t="shared" si="4"/>
        <v/>
      </c>
      <c r="D135" s="15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7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/>
      <c r="B136" s="30" t="str">
        <f t="shared" si="3"/>
        <v/>
      </c>
      <c r="C136" s="30" t="str">
        <f t="shared" si="4"/>
        <v/>
      </c>
      <c r="D136" s="15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7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/>
      <c r="B137" s="30" t="str">
        <f t="shared" si="3"/>
        <v/>
      </c>
      <c r="C137" s="30" t="str">
        <f t="shared" si="4"/>
        <v/>
      </c>
      <c r="D137" s="15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7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/>
      <c r="B138" s="30" t="str">
        <f t="shared" si="3"/>
        <v/>
      </c>
      <c r="C138" s="30" t="str">
        <f t="shared" si="4"/>
        <v/>
      </c>
      <c r="D138" s="15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7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/>
      <c r="B139" s="30" t="str">
        <f t="shared" si="3"/>
        <v/>
      </c>
      <c r="C139" s="30" t="str">
        <f t="shared" si="4"/>
        <v/>
      </c>
      <c r="D139" s="15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7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/>
      <c r="B140" s="30" t="str">
        <f t="shared" si="3"/>
        <v/>
      </c>
      <c r="C140" s="30" t="str">
        <f t="shared" si="4"/>
        <v/>
      </c>
      <c r="D140" s="15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7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/>
      <c r="B141" s="30" t="str">
        <f t="shared" si="3"/>
        <v/>
      </c>
      <c r="C141" s="30" t="str">
        <f t="shared" si="4"/>
        <v/>
      </c>
      <c r="D141" s="15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7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/>
      <c r="B142" s="30" t="str">
        <f t="shared" si="3"/>
        <v/>
      </c>
      <c r="C142" s="30" t="str">
        <f t="shared" si="4"/>
        <v/>
      </c>
      <c r="D142" s="15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7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/>
      <c r="B143" s="30" t="str">
        <f t="shared" si="3"/>
        <v/>
      </c>
      <c r="C143" s="30" t="str">
        <f t="shared" si="4"/>
        <v/>
      </c>
      <c r="D143" s="15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7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/>
      <c r="B144" s="30" t="str">
        <f t="shared" si="3"/>
        <v/>
      </c>
      <c r="C144" s="30" t="str">
        <f t="shared" si="4"/>
        <v/>
      </c>
      <c r="D144" s="15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7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/>
      <c r="B145" s="30" t="str">
        <f t="shared" si="3"/>
        <v/>
      </c>
      <c r="C145" s="30" t="str">
        <f t="shared" si="4"/>
        <v/>
      </c>
      <c r="D145" s="15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7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/>
      <c r="B146" s="30" t="str">
        <f t="shared" si="3"/>
        <v/>
      </c>
      <c r="C146" s="30" t="str">
        <f t="shared" si="4"/>
        <v/>
      </c>
      <c r="D146" s="15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7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/>
      <c r="B147" s="30" t="str">
        <f t="shared" si="3"/>
        <v/>
      </c>
      <c r="C147" s="30" t="str">
        <f t="shared" si="4"/>
        <v/>
      </c>
      <c r="D147" s="15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7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30" t="str">
        <f t="shared" si="3"/>
        <v/>
      </c>
      <c r="C148" s="30" t="str">
        <f t="shared" si="4"/>
        <v/>
      </c>
      <c r="D148" s="15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7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30" t="str">
        <f t="shared" si="3"/>
        <v/>
      </c>
      <c r="C149" s="30" t="str">
        <f t="shared" si="4"/>
        <v/>
      </c>
      <c r="D149" s="15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7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30" t="str">
        <f t="shared" si="3"/>
        <v/>
      </c>
      <c r="C150" s="30" t="str">
        <f t="shared" si="4"/>
        <v/>
      </c>
      <c r="D150" s="15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7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30" t="str">
        <f t="shared" si="3"/>
        <v/>
      </c>
      <c r="C151" s="30" t="str">
        <f t="shared" si="4"/>
        <v/>
      </c>
      <c r="D151" s="15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7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30" t="str">
        <f t="shared" si="3"/>
        <v/>
      </c>
      <c r="C152" s="30" t="str">
        <f t="shared" si="4"/>
        <v/>
      </c>
      <c r="D152" s="15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7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D153" s="15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7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D154" s="15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7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D155" s="15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7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D156" s="15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7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D157" s="15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7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D158" s="15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7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D159" s="15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7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D160" s="15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7"/>
      <c r="S160" s="1"/>
      <c r="T160" s="1"/>
      <c r="U160" s="1"/>
      <c r="V160" s="1"/>
      <c r="W160" s="1"/>
      <c r="X160" s="1"/>
      <c r="Y160" s="1"/>
      <c r="Z160" s="1"/>
      <c r="AA160" s="1"/>
    </row>
    <row r="161" spans="4:27" x14ac:dyDescent="0.25">
      <c r="D161" s="15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7"/>
      <c r="S161" s="1"/>
      <c r="T161" s="1"/>
      <c r="U161" s="1"/>
      <c r="V161" s="1"/>
      <c r="W161" s="1"/>
      <c r="X161" s="1"/>
      <c r="Y161" s="1"/>
      <c r="Z161" s="1"/>
      <c r="AA161" s="1"/>
    </row>
    <row r="162" spans="4:27" x14ac:dyDescent="0.25">
      <c r="D162" s="15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7"/>
      <c r="S162" s="1"/>
      <c r="T162" s="1"/>
      <c r="U162" s="1"/>
      <c r="V162" s="1"/>
      <c r="W162" s="1"/>
      <c r="X162" s="1"/>
      <c r="Y162" s="1"/>
      <c r="Z162" s="1"/>
      <c r="AA162" s="1"/>
    </row>
    <row r="163" spans="4:27" x14ac:dyDescent="0.25">
      <c r="D163" s="15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7"/>
      <c r="S163" s="1"/>
      <c r="T163" s="1"/>
      <c r="U163" s="1"/>
      <c r="V163" s="1"/>
      <c r="W163" s="1"/>
      <c r="X163" s="1"/>
      <c r="Y163" s="1"/>
      <c r="Z163" s="1"/>
      <c r="AA163" s="1"/>
    </row>
    <row r="164" spans="4:27" x14ac:dyDescent="0.25">
      <c r="D164" s="15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7"/>
      <c r="S164" s="1"/>
      <c r="T164" s="1"/>
      <c r="U164" s="1"/>
      <c r="V164" s="1"/>
      <c r="W164" s="1"/>
      <c r="X164" s="1"/>
      <c r="Y164" s="1"/>
      <c r="Z164" s="1"/>
      <c r="AA164" s="1"/>
    </row>
    <row r="165" spans="4:27" x14ac:dyDescent="0.25">
      <c r="D165" s="15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7"/>
      <c r="S165" s="1"/>
      <c r="T165" s="1"/>
      <c r="U165" s="1"/>
      <c r="V165" s="1"/>
      <c r="W165" s="1"/>
      <c r="X165" s="1"/>
      <c r="Y165" s="1"/>
      <c r="Z165" s="1"/>
      <c r="AA165" s="1"/>
    </row>
    <row r="166" spans="4:27" x14ac:dyDescent="0.25">
      <c r="D166" s="15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7"/>
      <c r="S166" s="1"/>
      <c r="T166" s="1"/>
      <c r="U166" s="1"/>
      <c r="V166" s="1"/>
      <c r="W166" s="1"/>
      <c r="X166" s="1"/>
      <c r="Y166" s="1"/>
      <c r="Z166" s="1"/>
      <c r="AA166" s="1"/>
    </row>
    <row r="167" spans="4:27" x14ac:dyDescent="0.25">
      <c r="D167" s="15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7"/>
      <c r="S167" s="1"/>
      <c r="T167" s="1"/>
      <c r="U167" s="1"/>
      <c r="V167" s="1"/>
      <c r="W167" s="1"/>
      <c r="X167" s="1"/>
      <c r="Y167" s="1"/>
      <c r="Z167" s="1"/>
      <c r="AA167" s="1"/>
    </row>
    <row r="168" spans="4:27" x14ac:dyDescent="0.25">
      <c r="D168" s="15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7"/>
      <c r="S168" s="1"/>
      <c r="T168" s="1"/>
      <c r="U168" s="1"/>
      <c r="V168" s="1"/>
      <c r="W168" s="1"/>
      <c r="X168" s="1"/>
      <c r="Y168" s="1"/>
      <c r="Z168" s="1"/>
      <c r="AA168" s="1"/>
    </row>
    <row r="169" spans="4:27" x14ac:dyDescent="0.25">
      <c r="D169" s="15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7"/>
      <c r="S169" s="1"/>
      <c r="T169" s="1"/>
      <c r="U169" s="1"/>
      <c r="V169" s="1"/>
      <c r="W169" s="1"/>
      <c r="X169" s="1"/>
      <c r="Y169" s="1"/>
      <c r="Z169" s="1"/>
      <c r="AA169" s="1"/>
    </row>
    <row r="170" spans="4:27" x14ac:dyDescent="0.25">
      <c r="D170" s="15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7"/>
      <c r="S170" s="1"/>
      <c r="T170" s="1"/>
      <c r="U170" s="1"/>
      <c r="V170" s="1"/>
      <c r="W170" s="1"/>
      <c r="X170" s="1"/>
      <c r="Y170" s="1"/>
      <c r="Z170" s="1"/>
      <c r="AA170" s="1"/>
    </row>
    <row r="171" spans="4:27" x14ac:dyDescent="0.25">
      <c r="D171" s="15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7"/>
      <c r="S171" s="1"/>
      <c r="T171" s="1"/>
      <c r="U171" s="1"/>
      <c r="V171" s="1"/>
      <c r="W171" s="1"/>
      <c r="X171" s="1"/>
      <c r="Y171" s="1"/>
      <c r="Z171" s="1"/>
      <c r="AA171" s="1"/>
    </row>
    <row r="172" spans="4:27" x14ac:dyDescent="0.25">
      <c r="D172" s="15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7"/>
      <c r="S172" s="1"/>
      <c r="T172" s="1"/>
      <c r="U172" s="1"/>
      <c r="V172" s="1"/>
      <c r="W172" s="1"/>
      <c r="X172" s="1"/>
      <c r="Y172" s="1"/>
      <c r="Z172" s="1"/>
      <c r="AA172" s="1"/>
    </row>
    <row r="173" spans="4:27" x14ac:dyDescent="0.25">
      <c r="D173" s="15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7"/>
      <c r="S173" s="1"/>
      <c r="T173" s="1"/>
      <c r="U173" s="1"/>
      <c r="V173" s="1"/>
      <c r="W173" s="1"/>
      <c r="X173" s="1"/>
      <c r="Y173" s="1"/>
      <c r="Z173" s="1"/>
      <c r="AA173" s="1"/>
    </row>
    <row r="174" spans="4:27" x14ac:dyDescent="0.25">
      <c r="D174" s="15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7"/>
      <c r="S174" s="1"/>
      <c r="T174" s="1"/>
      <c r="U174" s="1"/>
      <c r="V174" s="1"/>
      <c r="W174" s="1"/>
      <c r="X174" s="1"/>
      <c r="Y174" s="1"/>
      <c r="Z174" s="1"/>
      <c r="AA174" s="1"/>
    </row>
    <row r="175" spans="4:27" x14ac:dyDescent="0.25">
      <c r="D175" s="15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7"/>
      <c r="S175" s="1"/>
      <c r="T175" s="1"/>
      <c r="U175" s="1"/>
      <c r="V175" s="1"/>
      <c r="W175" s="1"/>
      <c r="X175" s="1"/>
      <c r="Y175" s="1"/>
      <c r="Z175" s="1"/>
      <c r="AA175" s="1"/>
    </row>
    <row r="176" spans="4:27" x14ac:dyDescent="0.25">
      <c r="D176" s="15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7"/>
      <c r="S176" s="1"/>
      <c r="T176" s="1"/>
      <c r="U176" s="1"/>
      <c r="V176" s="1"/>
      <c r="W176" s="1"/>
      <c r="X176" s="1"/>
      <c r="Y176" s="1"/>
      <c r="Z176" s="1"/>
      <c r="AA176" s="1"/>
    </row>
    <row r="177" spans="4:27" x14ac:dyDescent="0.25">
      <c r="D177" s="15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7"/>
      <c r="S177" s="1"/>
      <c r="T177" s="1"/>
      <c r="U177" s="1"/>
      <c r="V177" s="1"/>
      <c r="W177" s="1"/>
      <c r="X177" s="1"/>
      <c r="Y177" s="1"/>
      <c r="Z177" s="1"/>
      <c r="AA177" s="1"/>
    </row>
    <row r="178" spans="4:27" x14ac:dyDescent="0.25">
      <c r="D178" s="15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7"/>
      <c r="S178" s="1"/>
      <c r="T178" s="1"/>
      <c r="U178" s="1"/>
      <c r="V178" s="1"/>
      <c r="W178" s="1"/>
      <c r="X178" s="1"/>
      <c r="Y178" s="1"/>
      <c r="Z178" s="1"/>
      <c r="AA178" s="1"/>
    </row>
    <row r="179" spans="4:27" x14ac:dyDescent="0.25">
      <c r="D179" s="15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7"/>
      <c r="S179" s="1"/>
      <c r="T179" s="1"/>
      <c r="U179" s="1"/>
      <c r="V179" s="1"/>
      <c r="W179" s="1"/>
      <c r="X179" s="1"/>
      <c r="Y179" s="1"/>
      <c r="Z179" s="1"/>
      <c r="AA179" s="1"/>
    </row>
    <row r="180" spans="4:27" x14ac:dyDescent="0.25">
      <c r="D180" s="15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7"/>
      <c r="S180" s="1"/>
      <c r="T180" s="1"/>
      <c r="U180" s="1"/>
      <c r="V180" s="1"/>
      <c r="W180" s="1"/>
      <c r="X180" s="1"/>
      <c r="Y180" s="1"/>
      <c r="Z180" s="1"/>
      <c r="AA180" s="1"/>
    </row>
    <row r="181" spans="4:27" x14ac:dyDescent="0.25">
      <c r="D181" s="15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7"/>
      <c r="S181" s="1"/>
      <c r="T181" s="1"/>
      <c r="U181" s="1"/>
      <c r="V181" s="1"/>
      <c r="W181" s="1"/>
      <c r="X181" s="1"/>
      <c r="Y181" s="1"/>
      <c r="Z181" s="1"/>
      <c r="AA181" s="1"/>
    </row>
    <row r="182" spans="4:27" x14ac:dyDescent="0.25">
      <c r="D182" s="15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7"/>
      <c r="S182" s="1"/>
      <c r="T182" s="1"/>
      <c r="U182" s="1"/>
      <c r="V182" s="1"/>
      <c r="W182" s="1"/>
      <c r="X182" s="1"/>
      <c r="Y182" s="1"/>
      <c r="Z182" s="1"/>
      <c r="AA182" s="1"/>
    </row>
    <row r="183" spans="4:27" x14ac:dyDescent="0.25">
      <c r="D183" s="15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7"/>
      <c r="S183" s="1"/>
      <c r="T183" s="1"/>
      <c r="U183" s="1"/>
      <c r="V183" s="1"/>
      <c r="W183" s="1"/>
      <c r="X183" s="1"/>
      <c r="Y183" s="1"/>
      <c r="Z183" s="1"/>
      <c r="AA183" s="1"/>
    </row>
    <row r="184" spans="4:27" ht="15.75" thickBot="1" x14ac:dyDescent="0.3"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7"/>
      <c r="S184" s="1"/>
      <c r="T184" s="1"/>
      <c r="U184" s="1"/>
      <c r="V184" s="1"/>
      <c r="W184" s="1"/>
      <c r="X184" s="1"/>
      <c r="Y184" s="1"/>
      <c r="Z184" s="1"/>
      <c r="AA184" s="1"/>
    </row>
    <row r="185" spans="4:27" x14ac:dyDescent="0.25">
      <c r="S185" s="1"/>
      <c r="T185" s="1"/>
      <c r="U185" s="1"/>
      <c r="V185" s="1"/>
      <c r="W185" s="1"/>
      <c r="X185" s="1"/>
      <c r="Y185" s="1"/>
      <c r="Z185" s="1"/>
      <c r="AA185" s="1"/>
    </row>
    <row r="186" spans="4:27" x14ac:dyDescent="0.25">
      <c r="S186" s="1"/>
      <c r="T186" s="1"/>
      <c r="U186" s="1"/>
      <c r="V186" s="1"/>
      <c r="W186" s="1"/>
      <c r="X186" s="1"/>
      <c r="Y186" s="1"/>
      <c r="Z186" s="1"/>
      <c r="AA186" s="1"/>
    </row>
  </sheetData>
  <mergeCells count="1">
    <mergeCell ref="C1:L1"/>
  </mergeCells>
  <conditionalFormatting sqref="C185:P185 D37:Q184">
    <cfRule type="expression" dxfId="6" priority="8">
      <formula>MOD(ROW(),2)=0</formula>
    </cfRule>
  </conditionalFormatting>
  <conditionalFormatting sqref="D37:Q184">
    <cfRule type="expression" dxfId="5" priority="10">
      <formula>$B$5=ROW()</formula>
    </cfRule>
    <cfRule type="expression" dxfId="4" priority="11">
      <formula>$B$5=ROW()</formula>
    </cfRule>
  </conditionalFormatting>
  <conditionalFormatting sqref="D37:R184">
    <cfRule type="expression" dxfId="3" priority="1">
      <formula>$B$5=ROW()</formula>
    </cfRule>
    <cfRule type="expression" dxfId="2" priority="13">
      <formula>$B$5=ROW()</formula>
    </cfRule>
    <cfRule type="expression" dxfId="1" priority="14">
      <formula>MOD(ROW(),2)=0</formula>
    </cfRule>
    <cfRule type="expression" dxfId="0" priority="15">
      <formula>$B$5=ROW()</formula>
    </cfRule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DSWD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Sheba S. Dabon</dc:creator>
  <cp:lastModifiedBy>pc21</cp:lastModifiedBy>
  <dcterms:created xsi:type="dcterms:W3CDTF">2018-09-05T00:38:07Z</dcterms:created>
  <dcterms:modified xsi:type="dcterms:W3CDTF">2019-03-18T09:31:34Z</dcterms:modified>
</cp:coreProperties>
</file>